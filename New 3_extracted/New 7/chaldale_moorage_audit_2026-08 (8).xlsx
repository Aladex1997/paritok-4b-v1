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ips" sheetId="1" r:id="rId1"/>
    <sheet name="Amendments" sheetId="2" r:id="rId2"/>
    <sheet name="Billing Reconciliation" sheetId="3" r:id="rId3"/>
    <sheet name="Delinquencies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<sst xmlns="http://schemas.openxmlformats.org/spreadsheetml/2006/main" count="4262" uniqueCount="2184">
  <si>
    <t>Applicant ID</t>
  </si>
  <si>
    <t>Skip Date</t>
  </si>
  <si>
    <t>Review Date</t>
  </si>
  <si>
    <t>PDF Exists</t>
  </si>
  <si>
    <t>Priority</t>
  </si>
  <si>
    <t>WL-03099</t>
  </si>
  <si>
    <t>2023-01-08</t>
  </si>
  <si>
    <t>2023-01-10</t>
  </si>
  <si>
    <t>No</t>
  </si>
  <si>
    <t>WL-02685</t>
  </si>
  <si>
    <t>2023-01-11</t>
  </si>
  <si>
    <t>WL-01298</t>
  </si>
  <si>
    <t>2023-01-26</t>
  </si>
  <si>
    <t>2023-01-29</t>
  </si>
  <si>
    <t>WL-01959</t>
  </si>
  <si>
    <t>WL-01695</t>
  </si>
  <si>
    <t>2023-01-13</t>
  </si>
  <si>
    <t>WL-02565</t>
  </si>
  <si>
    <t>2023-02-18</t>
  </si>
  <si>
    <t>2023-02-23</t>
  </si>
  <si>
    <t>WL-02664</t>
  </si>
  <si>
    <t>2023-02-19</t>
  </si>
  <si>
    <t>WL-03582</t>
  </si>
  <si>
    <t>2023-02-10</t>
  </si>
  <si>
    <t>2023-02-14</t>
  </si>
  <si>
    <t>WL-02918</t>
  </si>
  <si>
    <t>2023-02-17</t>
  </si>
  <si>
    <t>2023-02-21</t>
  </si>
  <si>
    <t>WL-03523</t>
  </si>
  <si>
    <t>2023-03-15</t>
  </si>
  <si>
    <t>2023-03-18</t>
  </si>
  <si>
    <t>WL-02366</t>
  </si>
  <si>
    <t>2023-03-06</t>
  </si>
  <si>
    <t>2023-03-10</t>
  </si>
  <si>
    <t>WL-01388</t>
  </si>
  <si>
    <t>2023-03-27</t>
  </si>
  <si>
    <t>2023-03-30</t>
  </si>
  <si>
    <t>WL-01984</t>
  </si>
  <si>
    <t>2023-03-14</t>
  </si>
  <si>
    <t>WL-01649</t>
  </si>
  <si>
    <t>2023-03-21</t>
  </si>
  <si>
    <t>2023-03-23</t>
  </si>
  <si>
    <t>WL-03535</t>
  </si>
  <si>
    <t>2023-03-25</t>
  </si>
  <si>
    <t>2023-03-26</t>
  </si>
  <si>
    <t>WL-01473</t>
  </si>
  <si>
    <t>2023-04-20</t>
  </si>
  <si>
    <t>2023-04-25</t>
  </si>
  <si>
    <t>WL-02941</t>
  </si>
  <si>
    <t>2023-04-21</t>
  </si>
  <si>
    <t>WL-03014</t>
  </si>
  <si>
    <t>2023-04-03</t>
  </si>
  <si>
    <t>2023-04-04</t>
  </si>
  <si>
    <t>WL-01886</t>
  </si>
  <si>
    <t>2023-04-09</t>
  </si>
  <si>
    <t>2023-04-12</t>
  </si>
  <si>
    <t>WL-02074</t>
  </si>
  <si>
    <t>2023-04-11</t>
  </si>
  <si>
    <t>2023-04-15</t>
  </si>
  <si>
    <t>WL-01145</t>
  </si>
  <si>
    <t>2023-04-08</t>
  </si>
  <si>
    <t>2023-04-10</t>
  </si>
  <si>
    <t>WL-01274</t>
  </si>
  <si>
    <t>2023-04-28</t>
  </si>
  <si>
    <t>2023-04-29</t>
  </si>
  <si>
    <t>WL-01089</t>
  </si>
  <si>
    <t>2023-04-02</t>
  </si>
  <si>
    <t>WL-02485</t>
  </si>
  <si>
    <t>2023-05-13</t>
  </si>
  <si>
    <t>2023-05-16</t>
  </si>
  <si>
    <t>WL-03151</t>
  </si>
  <si>
    <t>2023-05-05</t>
  </si>
  <si>
    <t>2023-05-08</t>
  </si>
  <si>
    <t>WL-01469</t>
  </si>
  <si>
    <t>2023-05-02</t>
  </si>
  <si>
    <t>WL-03181</t>
  </si>
  <si>
    <t>2023-05-12</t>
  </si>
  <si>
    <t>2023-05-17</t>
  </si>
  <si>
    <t>WL-03816</t>
  </si>
  <si>
    <t>2023-05-20</t>
  </si>
  <si>
    <t>2023-05-24</t>
  </si>
  <si>
    <t>WL-03712</t>
  </si>
  <si>
    <t>2023-05-21</t>
  </si>
  <si>
    <t>WL-02100</t>
  </si>
  <si>
    <t>2023-05-19</t>
  </si>
  <si>
    <t>2023-05-23</t>
  </si>
  <si>
    <t>WL-02777</t>
  </si>
  <si>
    <t>2023-05-22</t>
  </si>
  <si>
    <t>WL-02134</t>
  </si>
  <si>
    <t>2023-05-10</t>
  </si>
  <si>
    <t>WL-01420</t>
  </si>
  <si>
    <t>WL-03537</t>
  </si>
  <si>
    <t>2023-05-04</t>
  </si>
  <si>
    <t>2023-05-06</t>
  </si>
  <si>
    <t>WL-03178</t>
  </si>
  <si>
    <t>WL-02924</t>
  </si>
  <si>
    <t>2023-06-12</t>
  </si>
  <si>
    <t>2023-06-16</t>
  </si>
  <si>
    <t>WL-01781</t>
  </si>
  <si>
    <t>2023-06-15</t>
  </si>
  <si>
    <t>2023-06-19</t>
  </si>
  <si>
    <t>WL-01193</t>
  </si>
  <si>
    <t>2023-06-08</t>
  </si>
  <si>
    <t>WL-01319</t>
  </si>
  <si>
    <t>2023-06-10</t>
  </si>
  <si>
    <t>2023-06-11</t>
  </si>
  <si>
    <t>WL-02173</t>
  </si>
  <si>
    <t>2023-06-24</t>
  </si>
  <si>
    <t>WL-01568</t>
  </si>
  <si>
    <t>2023-06-25</t>
  </si>
  <si>
    <t>2023-06-29</t>
  </si>
  <si>
    <t>WL-03758</t>
  </si>
  <si>
    <t>WL-02535</t>
  </si>
  <si>
    <t>2023-06-07</t>
  </si>
  <si>
    <t>WL-02663</t>
  </si>
  <si>
    <t>2023-06-13</t>
  </si>
  <si>
    <t>WL-01129</t>
  </si>
  <si>
    <t>2023-06-09</t>
  </si>
  <si>
    <t>2023-06-14</t>
  </si>
  <si>
    <t>WL-03100</t>
  </si>
  <si>
    <t>WL-03857</t>
  </si>
  <si>
    <t>2023-07-04</t>
  </si>
  <si>
    <t>2023-07-09</t>
  </si>
  <si>
    <t>WL-01054</t>
  </si>
  <si>
    <t>2023-07-15</t>
  </si>
  <si>
    <t>2023-07-20</t>
  </si>
  <si>
    <t>WL-01712</t>
  </si>
  <si>
    <t>2023-07-03</t>
  </si>
  <si>
    <t>WL-02160</t>
  </si>
  <si>
    <t>2023-07-07</t>
  </si>
  <si>
    <t>WL-01242</t>
  </si>
  <si>
    <t>WL-02199</t>
  </si>
  <si>
    <t>2023-07-24</t>
  </si>
  <si>
    <t>2023-07-29</t>
  </si>
  <si>
    <t>WL-01248</t>
  </si>
  <si>
    <t>2023-07-26</t>
  </si>
  <si>
    <t>2023-07-31</t>
  </si>
  <si>
    <t>WL-02206</t>
  </si>
  <si>
    <t>2023-07-11</t>
  </si>
  <si>
    <t>2023-07-13</t>
  </si>
  <si>
    <t>WL-02706</t>
  </si>
  <si>
    <t>WL-01924</t>
  </si>
  <si>
    <t>2023-07-05</t>
  </si>
  <si>
    <t>WL-03652</t>
  </si>
  <si>
    <t>2023-07-27</t>
  </si>
  <si>
    <t>2023-07-28</t>
  </si>
  <si>
    <t>WL-03411</t>
  </si>
  <si>
    <t>WL-01029</t>
  </si>
  <si>
    <t>2023-08-06</t>
  </si>
  <si>
    <t>2023-08-11</t>
  </si>
  <si>
    <t>WL-01847</t>
  </si>
  <si>
    <t>2023-08-16</t>
  </si>
  <si>
    <t>2023-08-20</t>
  </si>
  <si>
    <t>WL-01297</t>
  </si>
  <si>
    <t>2023-08-09</t>
  </si>
  <si>
    <t>2023-08-14</t>
  </si>
  <si>
    <t>WL-02603</t>
  </si>
  <si>
    <t>2023-08-02</t>
  </si>
  <si>
    <t>WL-03153</t>
  </si>
  <si>
    <t>2023-08-22</t>
  </si>
  <si>
    <t>2023-08-23</t>
  </si>
  <si>
    <t>WL-02650</t>
  </si>
  <si>
    <t>2023-08-27</t>
  </si>
  <si>
    <t>WL-01360</t>
  </si>
  <si>
    <t>2023-08-10</t>
  </si>
  <si>
    <t>WL-01367</t>
  </si>
  <si>
    <t>2023-08-05</t>
  </si>
  <si>
    <t>2023-08-07</t>
  </si>
  <si>
    <t>WL-02793</t>
  </si>
  <si>
    <t>2023-08-18</t>
  </si>
  <si>
    <t>2023-08-21</t>
  </si>
  <si>
    <t>WL-03249</t>
  </si>
  <si>
    <t>2023-09-18</t>
  </si>
  <si>
    <t>2023-09-19</t>
  </si>
  <si>
    <t>WL-03629</t>
  </si>
  <si>
    <t>2023-09-11</t>
  </si>
  <si>
    <t>WL-03673</t>
  </si>
  <si>
    <t>2023-09-05</t>
  </si>
  <si>
    <t>2023-09-08</t>
  </si>
  <si>
    <t>WL-01746</t>
  </si>
  <si>
    <t>2023-09-09</t>
  </si>
  <si>
    <t>WL-03844</t>
  </si>
  <si>
    <t>2023-09-16</t>
  </si>
  <si>
    <t>2023-09-21</t>
  </si>
  <si>
    <t>WL-01566</t>
  </si>
  <si>
    <t>2023-09-25</t>
  </si>
  <si>
    <t>2023-09-29</t>
  </si>
  <si>
    <t>WL-02912</t>
  </si>
  <si>
    <t>2023-09-13</t>
  </si>
  <si>
    <t>2023-09-15</t>
  </si>
  <si>
    <t>WL-01168</t>
  </si>
  <si>
    <t>2023-09-22</t>
  </si>
  <si>
    <t>WL-03700</t>
  </si>
  <si>
    <t>2023-09-04</t>
  </si>
  <si>
    <t>2023-09-06</t>
  </si>
  <si>
    <t>WL-02000</t>
  </si>
  <si>
    <t>WL-01080</t>
  </si>
  <si>
    <t>2023-09-17</t>
  </si>
  <si>
    <t>WL-03715</t>
  </si>
  <si>
    <t>2023-09-03</t>
  </si>
  <si>
    <t>WL-02285</t>
  </si>
  <si>
    <t>2023-09-12</t>
  </si>
  <si>
    <t>WL-01003</t>
  </si>
  <si>
    <t>2023-10-06</t>
  </si>
  <si>
    <t>2023-10-08</t>
  </si>
  <si>
    <t>WL-01594</t>
  </si>
  <si>
    <t>2023-10-05</t>
  </si>
  <si>
    <t>WL-01918</t>
  </si>
  <si>
    <t>2023-10-21</t>
  </si>
  <si>
    <t>2023-10-23</t>
  </si>
  <si>
    <t>WL-03849</t>
  </si>
  <si>
    <t>2023-10-24</t>
  </si>
  <si>
    <t>2023-10-27</t>
  </si>
  <si>
    <t>WL-01704</t>
  </si>
  <si>
    <t>2023-10-09</t>
  </si>
  <si>
    <t>2023-10-12</t>
  </si>
  <si>
    <t>WL-03696</t>
  </si>
  <si>
    <t>2023-11-22</t>
  </si>
  <si>
    <t>2023-11-26</t>
  </si>
  <si>
    <t>WL-01016</t>
  </si>
  <si>
    <t>2023-12-17</t>
  </si>
  <si>
    <t>2023-12-20</t>
  </si>
  <si>
    <t>WL-01186</t>
  </si>
  <si>
    <t>2023-12-21</t>
  </si>
  <si>
    <t>WL-01524</t>
  </si>
  <si>
    <t>2023-12-26</t>
  </si>
  <si>
    <t>2023-12-31</t>
  </si>
  <si>
    <t>WL-03111</t>
  </si>
  <si>
    <t>2023-12-29</t>
  </si>
  <si>
    <t>WL-02726</t>
  </si>
  <si>
    <t>2023-12-24</t>
  </si>
  <si>
    <t>2023-12-03</t>
  </si>
  <si>
    <t>2023-12-08</t>
  </si>
  <si>
    <t>WL-02759</t>
  </si>
  <si>
    <t>2024-01-14</t>
  </si>
  <si>
    <t>2024-01-19</t>
  </si>
  <si>
    <t>WL-01632</t>
  </si>
  <si>
    <t>2024-01-04</t>
  </si>
  <si>
    <t>2024-01-05</t>
  </si>
  <si>
    <t>WL-03141</t>
  </si>
  <si>
    <t>2024-02-20</t>
  </si>
  <si>
    <t>2024-02-21</t>
  </si>
  <si>
    <t>WL-02349</t>
  </si>
  <si>
    <t>2024-02-24</t>
  </si>
  <si>
    <t>2024-02-25</t>
  </si>
  <si>
    <t>WL-01253</t>
  </si>
  <si>
    <t>2024-02-03</t>
  </si>
  <si>
    <t>2024-02-05</t>
  </si>
  <si>
    <t>WL-03127</t>
  </si>
  <si>
    <t>2024-02-15</t>
  </si>
  <si>
    <t>2024-02-18</t>
  </si>
  <si>
    <t>WL-02653</t>
  </si>
  <si>
    <t>2024-02-08</t>
  </si>
  <si>
    <t>2024-02-09</t>
  </si>
  <si>
    <t>WL-01347</t>
  </si>
  <si>
    <t>2024-02-07</t>
  </si>
  <si>
    <t>2024-02-10</t>
  </si>
  <si>
    <t>WL-01562</t>
  </si>
  <si>
    <t>2024-02-12</t>
  </si>
  <si>
    <t>WL-02629</t>
  </si>
  <si>
    <t>2024-03-23</t>
  </si>
  <si>
    <t>2024-03-26</t>
  </si>
  <si>
    <t>WL-03621</t>
  </si>
  <si>
    <t>2024-03-28</t>
  </si>
  <si>
    <t>2024-03-30</t>
  </si>
  <si>
    <t>WL-02027</t>
  </si>
  <si>
    <t>2024-03-22</t>
  </si>
  <si>
    <t>WL-03185</t>
  </si>
  <si>
    <t>2024-03-27</t>
  </si>
  <si>
    <t>WL-02893</t>
  </si>
  <si>
    <t>2024-03-02</t>
  </si>
  <si>
    <t>2024-03-06</t>
  </si>
  <si>
    <t>WL-02274</t>
  </si>
  <si>
    <t>2024-03-25</t>
  </si>
  <si>
    <t>WL-03661</t>
  </si>
  <si>
    <t>2024-03-20</t>
  </si>
  <si>
    <t>2024-03-24</t>
  </si>
  <si>
    <t>WL-02769</t>
  </si>
  <si>
    <t>2024-03-03</t>
  </si>
  <si>
    <t>WL-01950</t>
  </si>
  <si>
    <t>2024-04-02</t>
  </si>
  <si>
    <t>WL-02895</t>
  </si>
  <si>
    <t>2024-04-25</t>
  </si>
  <si>
    <t>2024-04-29</t>
  </si>
  <si>
    <t>WL-03018</t>
  </si>
  <si>
    <t>2024-04-08</t>
  </si>
  <si>
    <t>2024-04-09</t>
  </si>
  <si>
    <t>WL-02948</t>
  </si>
  <si>
    <t>2024-04-21</t>
  </si>
  <si>
    <t>2024-04-24</t>
  </si>
  <si>
    <t>WL-02305</t>
  </si>
  <si>
    <t>2024-05-08</t>
  </si>
  <si>
    <t>WL-01675</t>
  </si>
  <si>
    <t>2024-05-13</t>
  </si>
  <si>
    <t>2024-05-15</t>
  </si>
  <si>
    <t>2024-05-23</t>
  </si>
  <si>
    <t>2024-05-24</t>
  </si>
  <si>
    <t>WL-01536</t>
  </si>
  <si>
    <t>2024-05-19</t>
  </si>
  <si>
    <t>2024-05-20</t>
  </si>
  <si>
    <t>WL-02013</t>
  </si>
  <si>
    <t>2024-05-22</t>
  </si>
  <si>
    <t>WL-01753</t>
  </si>
  <si>
    <t>WL-01318</t>
  </si>
  <si>
    <t>2024-05-01</t>
  </si>
  <si>
    <t>2024-05-04</t>
  </si>
  <si>
    <t>WL-03891</t>
  </si>
  <si>
    <t>2024-05-21</t>
  </si>
  <si>
    <t>WL-03026</t>
  </si>
  <si>
    <t>2024-06-12</t>
  </si>
  <si>
    <t>2024-06-13</t>
  </si>
  <si>
    <t>WL-03245</t>
  </si>
  <si>
    <t>2024-06-15</t>
  </si>
  <si>
    <t>2024-06-20</t>
  </si>
  <si>
    <t>WL-03527</t>
  </si>
  <si>
    <t>2024-06-14</t>
  </si>
  <si>
    <t>2024-06-19</t>
  </si>
  <si>
    <t>WL-01144</t>
  </si>
  <si>
    <t>2024-06-05</t>
  </si>
  <si>
    <t>2024-06-08</t>
  </si>
  <si>
    <t>WL-03390</t>
  </si>
  <si>
    <t>2024-06-09</t>
  </si>
  <si>
    <t>Yes</t>
  </si>
  <si>
    <t>WL-01368</t>
  </si>
  <si>
    <t>2024-06-11</t>
  </si>
  <si>
    <t>WL-01889</t>
  </si>
  <si>
    <t>2024-07-28</t>
  </si>
  <si>
    <t>2024-08-02</t>
  </si>
  <si>
    <t>WL-01691</t>
  </si>
  <si>
    <t>2024-07-05</t>
  </si>
  <si>
    <t>2024-07-08</t>
  </si>
  <si>
    <t>WL-02850</t>
  </si>
  <si>
    <t>2024-07-14</t>
  </si>
  <si>
    <t>2024-07-19</t>
  </si>
  <si>
    <t>WL-03762</t>
  </si>
  <si>
    <t>2024-08-18</t>
  </si>
  <si>
    <t>2024-08-20</t>
  </si>
  <si>
    <t>WL-03542</t>
  </si>
  <si>
    <t>2024-08-06</t>
  </si>
  <si>
    <t>2024-08-11</t>
  </si>
  <si>
    <t>WL-03759</t>
  </si>
  <si>
    <t>2024-08-16</t>
  </si>
  <si>
    <t>WL-01001</t>
  </si>
  <si>
    <t>2024-08-10</t>
  </si>
  <si>
    <t>2024-08-14</t>
  </si>
  <si>
    <t>WL-02791</t>
  </si>
  <si>
    <t>2024-08-25</t>
  </si>
  <si>
    <t>2024-08-30</t>
  </si>
  <si>
    <t>WL-01998</t>
  </si>
  <si>
    <t>2024-08-28</t>
  </si>
  <si>
    <t>WL-02925</t>
  </si>
  <si>
    <t>2024-08-04</t>
  </si>
  <si>
    <t>WL-03615</t>
  </si>
  <si>
    <t>2024-09-01</t>
  </si>
  <si>
    <t>2024-09-03</t>
  </si>
  <si>
    <t>WL-03062</t>
  </si>
  <si>
    <t>2024-09-11</t>
  </si>
  <si>
    <t>2024-09-13</t>
  </si>
  <si>
    <t>WL-01779</t>
  </si>
  <si>
    <t>2024-09-07</t>
  </si>
  <si>
    <t>2024-09-08</t>
  </si>
  <si>
    <t>WL-03228</t>
  </si>
  <si>
    <t>2024-09-04</t>
  </si>
  <si>
    <t>WL-03479</t>
  </si>
  <si>
    <t>2024-09-10</t>
  </si>
  <si>
    <t>2024-09-15</t>
  </si>
  <si>
    <t>WL-02574</t>
  </si>
  <si>
    <t>2024-09-14</t>
  </si>
  <si>
    <t>WL-02336</t>
  </si>
  <si>
    <t>WL-01504</t>
  </si>
  <si>
    <t>2024-09-02</t>
  </si>
  <si>
    <t>WL-01718</t>
  </si>
  <si>
    <t>2024-09-25</t>
  </si>
  <si>
    <t>2024-09-27</t>
  </si>
  <si>
    <t>WL-01026</t>
  </si>
  <si>
    <t>2024-10-26</t>
  </si>
  <si>
    <t>2024-10-30</t>
  </si>
  <si>
    <t>WL-03831</t>
  </si>
  <si>
    <t>2024-10-21</t>
  </si>
  <si>
    <t>WL-01264</t>
  </si>
  <si>
    <t>2024-10-23</t>
  </si>
  <si>
    <t>WL-03708</t>
  </si>
  <si>
    <t>2024-10-25</t>
  </si>
  <si>
    <t>WL-03808</t>
  </si>
  <si>
    <t>2024-10-27</t>
  </si>
  <si>
    <t>2024-11-01</t>
  </si>
  <si>
    <t>WL-01269</t>
  </si>
  <si>
    <t>2024-10-15</t>
  </si>
  <si>
    <t>2024-10-16</t>
  </si>
  <si>
    <t>WL-03733</t>
  </si>
  <si>
    <t>2024-10-20</t>
  </si>
  <si>
    <t>WL-02139</t>
  </si>
  <si>
    <t>2024-11-22</t>
  </si>
  <si>
    <t>2024-11-23</t>
  </si>
  <si>
    <t>WL-02598</t>
  </si>
  <si>
    <t>2024-11-17</t>
  </si>
  <si>
    <t>WL-01832</t>
  </si>
  <si>
    <t>2024-11-28</t>
  </si>
  <si>
    <t>2024-11-03</t>
  </si>
  <si>
    <t>2024-11-06</t>
  </si>
  <si>
    <t>WL-02412</t>
  </si>
  <si>
    <t>2024-12-13</t>
  </si>
  <si>
    <t>2024-12-16</t>
  </si>
  <si>
    <t>WL-03079</t>
  </si>
  <si>
    <t>2024-12-24</t>
  </si>
  <si>
    <t>2024-12-29</t>
  </si>
  <si>
    <t>WL-03294</t>
  </si>
  <si>
    <t>2024-12-11</t>
  </si>
  <si>
    <t>WL-01844</t>
  </si>
  <si>
    <t>2024-12-22</t>
  </si>
  <si>
    <t>WL-02923</t>
  </si>
  <si>
    <t>2024-12-18</t>
  </si>
  <si>
    <t>WL-03628</t>
  </si>
  <si>
    <t>2025-01-15</t>
  </si>
  <si>
    <t>2025-01-17</t>
  </si>
  <si>
    <t>2025-01-20</t>
  </si>
  <si>
    <t>WL-01382</t>
  </si>
  <si>
    <t>2025-01-01</t>
  </si>
  <si>
    <t>2025-01-04</t>
  </si>
  <si>
    <t>WL-03888</t>
  </si>
  <si>
    <t>2025-01-12</t>
  </si>
  <si>
    <t>2025-01-14</t>
  </si>
  <si>
    <t>WL-02733</t>
  </si>
  <si>
    <t>2025-01-16</t>
  </si>
  <si>
    <t>WL-03244</t>
  </si>
  <si>
    <t>2025-02-20</t>
  </si>
  <si>
    <t>2025-02-23</t>
  </si>
  <si>
    <t>WL-02067</t>
  </si>
  <si>
    <t>2025-03-22</t>
  </si>
  <si>
    <t>WL-01523</t>
  </si>
  <si>
    <t>2025-03-27</t>
  </si>
  <si>
    <t>2025-03-30</t>
  </si>
  <si>
    <t>WL-03442</t>
  </si>
  <si>
    <t>2025-03-12</t>
  </si>
  <si>
    <t>2025-03-17</t>
  </si>
  <si>
    <t>WL-03604</t>
  </si>
  <si>
    <t>2025-03-09</t>
  </si>
  <si>
    <t>WL-03815</t>
  </si>
  <si>
    <t>2025-03-01</t>
  </si>
  <si>
    <t>2025-03-06</t>
  </si>
  <si>
    <t>WL-01578</t>
  </si>
  <si>
    <t>2025-04-16</t>
  </si>
  <si>
    <t>2025-04-21</t>
  </si>
  <si>
    <t>WL-02178</t>
  </si>
  <si>
    <t>2025-04-02</t>
  </si>
  <si>
    <t>2025-04-04</t>
  </si>
  <si>
    <t>2025-04-09</t>
  </si>
  <si>
    <t>2025-04-10</t>
  </si>
  <si>
    <t>WL-01808</t>
  </si>
  <si>
    <t>2025-04-07</t>
  </si>
  <si>
    <t>2025-04-11</t>
  </si>
  <si>
    <t>WL-02693</t>
  </si>
  <si>
    <t>2025-04-22</t>
  </si>
  <si>
    <t>2025-04-24</t>
  </si>
  <si>
    <t>WL-01328</t>
  </si>
  <si>
    <t>2025-04-27</t>
  </si>
  <si>
    <t>2025-05-02</t>
  </si>
  <si>
    <t>WL-02188</t>
  </si>
  <si>
    <t>WL-02524</t>
  </si>
  <si>
    <t>2025-04-05</t>
  </si>
  <si>
    <t>WL-02845</t>
  </si>
  <si>
    <t>2025-04-14</t>
  </si>
  <si>
    <t>2025-04-17</t>
  </si>
  <si>
    <t>WL-03839</t>
  </si>
  <si>
    <t>2025-05-07</t>
  </si>
  <si>
    <t>2025-05-12</t>
  </si>
  <si>
    <t>WL-03094</t>
  </si>
  <si>
    <t>2025-05-17</t>
  </si>
  <si>
    <t>2025-05-22</t>
  </si>
  <si>
    <t>WL-03662</t>
  </si>
  <si>
    <t>2025-05-05</t>
  </si>
  <si>
    <t>WL-01472</t>
  </si>
  <si>
    <t>WL-03360</t>
  </si>
  <si>
    <t>2025-05-10</t>
  </si>
  <si>
    <t>2025-05-15</t>
  </si>
  <si>
    <t>WL-02747</t>
  </si>
  <si>
    <t>2025-06-18</t>
  </si>
  <si>
    <t>2025-06-19</t>
  </si>
  <si>
    <t>WL-01333</t>
  </si>
  <si>
    <t>2025-06-20</t>
  </si>
  <si>
    <t>WL-02698</t>
  </si>
  <si>
    <t>2025-06-15</t>
  </si>
  <si>
    <t>2025-06-17</t>
  </si>
  <si>
    <t>WL-03047</t>
  </si>
  <si>
    <t>2025-06-02</t>
  </si>
  <si>
    <t>2025-06-03</t>
  </si>
  <si>
    <t>WL-01151</t>
  </si>
  <si>
    <t>2025-06-14</t>
  </si>
  <si>
    <t>WL-02314</t>
  </si>
  <si>
    <t>WL-02356</t>
  </si>
  <si>
    <t>2025-06-09</t>
  </si>
  <si>
    <t>2025-06-10</t>
  </si>
  <si>
    <t>2025-06-07</t>
  </si>
  <si>
    <t>WL-01813</t>
  </si>
  <si>
    <t>2025-07-10</t>
  </si>
  <si>
    <t>2025-07-12</t>
  </si>
  <si>
    <t>WL-03227</t>
  </si>
  <si>
    <t>2025-07-25</t>
  </si>
  <si>
    <t>2025-07-30</t>
  </si>
  <si>
    <t>WL-02298</t>
  </si>
  <si>
    <t>2025-07-06</t>
  </si>
  <si>
    <t>2025-07-11</t>
  </si>
  <si>
    <t>WL-03516</t>
  </si>
  <si>
    <t>2025-07-14</t>
  </si>
  <si>
    <t>WL-03579</t>
  </si>
  <si>
    <t>2025-07-13</t>
  </si>
  <si>
    <t>WL-03248</t>
  </si>
  <si>
    <t>2025-07-17</t>
  </si>
  <si>
    <t>WL-03526</t>
  </si>
  <si>
    <t>2025-07-22</t>
  </si>
  <si>
    <t>2025-07-28</t>
  </si>
  <si>
    <t>WL-02774</t>
  </si>
  <si>
    <t>2025-08-26</t>
  </si>
  <si>
    <t>2025-08-29</t>
  </si>
  <si>
    <t>WL-03311</t>
  </si>
  <si>
    <t>2025-08-30</t>
  </si>
  <si>
    <t>WL-01537</t>
  </si>
  <si>
    <t>2025-08-18</t>
  </si>
  <si>
    <t>2025-08-22</t>
  </si>
  <si>
    <t>WL-01788</t>
  </si>
  <si>
    <t>2025-08-28</t>
  </si>
  <si>
    <t>WL-01702</t>
  </si>
  <si>
    <t>2025-08-27</t>
  </si>
  <si>
    <t>WL-02607</t>
  </si>
  <si>
    <t>2025-08-10</t>
  </si>
  <si>
    <t>2025-08-13</t>
  </si>
  <si>
    <t>WL-03314</t>
  </si>
  <si>
    <t>2025-08-15</t>
  </si>
  <si>
    <t>WL-03134</t>
  </si>
  <si>
    <t>2025-08-14</t>
  </si>
  <si>
    <t>2025-08-08</t>
  </si>
  <si>
    <t>2025-08-12</t>
  </si>
  <si>
    <t>WL-02323</t>
  </si>
  <si>
    <t>2025-08-05</t>
  </si>
  <si>
    <t>WL-03481</t>
  </si>
  <si>
    <t>2025-08-03</t>
  </si>
  <si>
    <t>2025-08-06</t>
  </si>
  <si>
    <t>WL-02838</t>
  </si>
  <si>
    <t>WL-01617</t>
  </si>
  <si>
    <t>2025-09-02</t>
  </si>
  <si>
    <t>WL-01843</t>
  </si>
  <si>
    <t>2025-08-19</t>
  </si>
  <si>
    <t>2025-08-23</t>
  </si>
  <si>
    <t>WL-01715</t>
  </si>
  <si>
    <t>2025-09-17</t>
  </si>
  <si>
    <t>2025-09-22</t>
  </si>
  <si>
    <t>WL-01334</t>
  </si>
  <si>
    <t>2025-09-03</t>
  </si>
  <si>
    <t>2025-09-08</t>
  </si>
  <si>
    <t>WL-02428</t>
  </si>
  <si>
    <t>2025-09-19</t>
  </si>
  <si>
    <t>WL-03861</t>
  </si>
  <si>
    <t>WL-02153</t>
  </si>
  <si>
    <t>2025-09-20</t>
  </si>
  <si>
    <t>WL-02445</t>
  </si>
  <si>
    <t>2025-09-23</t>
  </si>
  <si>
    <t>2025-09-24</t>
  </si>
  <si>
    <t>WL-02890</t>
  </si>
  <si>
    <t>WL-01913</t>
  </si>
  <si>
    <t>WL-02167</t>
  </si>
  <si>
    <t>2025-09-09</t>
  </si>
  <si>
    <t>2025-09-11</t>
  </si>
  <si>
    <t>WL-03865</t>
  </si>
  <si>
    <t>2025-09-15</t>
  </si>
  <si>
    <t>WL-02002</t>
  </si>
  <si>
    <t>2025-09-05</t>
  </si>
  <si>
    <t>WL-02284</t>
  </si>
  <si>
    <t>2025-10-26</t>
  </si>
  <si>
    <t>2025-10-29</t>
  </si>
  <si>
    <t>WL-02187</t>
  </si>
  <si>
    <t>2025-10-28</t>
  </si>
  <si>
    <t>2025-10-31</t>
  </si>
  <si>
    <t>WL-03750</t>
  </si>
  <si>
    <t>2025-10-03</t>
  </si>
  <si>
    <t>2025-10-05</t>
  </si>
  <si>
    <t>WL-01645</t>
  </si>
  <si>
    <t>2025-10-23</t>
  </si>
  <si>
    <t>2025-10-27</t>
  </si>
  <si>
    <t>2025-10-11</t>
  </si>
  <si>
    <t>2025-10-13</t>
  </si>
  <si>
    <t>WL-01128</t>
  </si>
  <si>
    <t>2025-10-15</t>
  </si>
  <si>
    <t>WL-02676</t>
  </si>
  <si>
    <t>2025-10-02</t>
  </si>
  <si>
    <t>2025-10-04</t>
  </si>
  <si>
    <t>WL-03455</t>
  </si>
  <si>
    <t>2025-10-07</t>
  </si>
  <si>
    <t>WL-02711</t>
  </si>
  <si>
    <t>2025-10-18</t>
  </si>
  <si>
    <t>WL-02448</t>
  </si>
  <si>
    <t>2025-11-27</t>
  </si>
  <si>
    <t>2025-12-02</t>
  </si>
  <si>
    <t>WL-02404</t>
  </si>
  <si>
    <t>2025-11-17</t>
  </si>
  <si>
    <t>2025-11-19</t>
  </si>
  <si>
    <t>WL-01776</t>
  </si>
  <si>
    <t>2025-12-15</t>
  </si>
  <si>
    <t>2025-12-17</t>
  </si>
  <si>
    <t>WL-02991</t>
  </si>
  <si>
    <t>2025-12-26</t>
  </si>
  <si>
    <t>2025-12-30</t>
  </si>
  <si>
    <t>WL-03011</t>
  </si>
  <si>
    <t>2026-01-13</t>
  </si>
  <si>
    <t>2026-01-18</t>
  </si>
  <si>
    <t>2026-01-15</t>
  </si>
  <si>
    <t>WL-01435</t>
  </si>
  <si>
    <t>2026-01-21</t>
  </si>
  <si>
    <t>2026-01-22</t>
  </si>
  <si>
    <t>WL-03197</t>
  </si>
  <si>
    <t>2026-01-27</t>
  </si>
  <si>
    <t>2026-02-01</t>
  </si>
  <si>
    <t>WL-01558</t>
  </si>
  <si>
    <t>2026-01-01</t>
  </si>
  <si>
    <t>2026-01-03</t>
  </si>
  <si>
    <t>WL-03054</t>
  </si>
  <si>
    <t>2026-01-04</t>
  </si>
  <si>
    <t>WL-03817</t>
  </si>
  <si>
    <t>2026-02-22</t>
  </si>
  <si>
    <t>2026-02-23</t>
  </si>
  <si>
    <t>WL-03653</t>
  </si>
  <si>
    <t>2026-02-27</t>
  </si>
  <si>
    <t>2026-03-01</t>
  </si>
  <si>
    <t>WL-01605</t>
  </si>
  <si>
    <t>2026-02-14</t>
  </si>
  <si>
    <t>2026-02-15</t>
  </si>
  <si>
    <t>WL-01550</t>
  </si>
  <si>
    <t>2026-02-25</t>
  </si>
  <si>
    <t>WL-02930</t>
  </si>
  <si>
    <t>2026-02-07</t>
  </si>
  <si>
    <t>2026-02-12</t>
  </si>
  <si>
    <t>WL-01038</t>
  </si>
  <si>
    <t>2026-03-12</t>
  </si>
  <si>
    <t>2026-03-17</t>
  </si>
  <si>
    <t>WL-02306</t>
  </si>
  <si>
    <t>2026-03-15</t>
  </si>
  <si>
    <t>2026-03-18</t>
  </si>
  <si>
    <t>WL-01139</t>
  </si>
  <si>
    <t>2026-03-26</t>
  </si>
  <si>
    <t>2026-03-28</t>
  </si>
  <si>
    <t>WL-03279</t>
  </si>
  <si>
    <t>2026-03-13</t>
  </si>
  <si>
    <t>WL-03305</t>
  </si>
  <si>
    <t>2026-03-31</t>
  </si>
  <si>
    <t>WL-02417</t>
  </si>
  <si>
    <t>2026-03-20</t>
  </si>
  <si>
    <t>WL-01084</t>
  </si>
  <si>
    <t>2026-04-01</t>
  </si>
  <si>
    <t>2026-04-02</t>
  </si>
  <si>
    <t>WL-03306</t>
  </si>
  <si>
    <t>2026-04-05</t>
  </si>
  <si>
    <t>2026-04-10</t>
  </si>
  <si>
    <t>WL-01283</t>
  </si>
  <si>
    <t>2026-04-04</t>
  </si>
  <si>
    <t>WL-02766</t>
  </si>
  <si>
    <t>WL-03088</t>
  </si>
  <si>
    <t>WL-03139</t>
  </si>
  <si>
    <t>2026-04-12</t>
  </si>
  <si>
    <t>WL-02120</t>
  </si>
  <si>
    <t>2026-04-13</t>
  </si>
  <si>
    <t>2026-04-15</t>
  </si>
  <si>
    <t>WL-02353</t>
  </si>
  <si>
    <t>2026-04-06</t>
  </si>
  <si>
    <t>2026-04-08</t>
  </si>
  <si>
    <t>WL-02504</t>
  </si>
  <si>
    <t>2026-04-19</t>
  </si>
  <si>
    <t>2026-04-20</t>
  </si>
  <si>
    <t>2026-04-17</t>
  </si>
  <si>
    <t>2026-04-22</t>
  </si>
  <si>
    <t>WL-01288</t>
  </si>
  <si>
    <t>WL-02639</t>
  </si>
  <si>
    <t>2026-04-07</t>
  </si>
  <si>
    <t>WL-03754</t>
  </si>
  <si>
    <t>2026-05-09</t>
  </si>
  <si>
    <t>WL-01205</t>
  </si>
  <si>
    <t>2026-05-06</t>
  </si>
  <si>
    <t>WL-03607</t>
  </si>
  <si>
    <t>2026-05-18</t>
  </si>
  <si>
    <t>2026-05-21</t>
  </si>
  <si>
    <t>WL-03896</t>
  </si>
  <si>
    <t>2026-05-08</t>
  </si>
  <si>
    <t>WL-03247</t>
  </si>
  <si>
    <t>2026-05-24</t>
  </si>
  <si>
    <t>2026-05-29</t>
  </si>
  <si>
    <t>WL-02671</t>
  </si>
  <si>
    <t>2026-05-02</t>
  </si>
  <si>
    <t>2026-05-03</t>
  </si>
  <si>
    <t>WL-01404</t>
  </si>
  <si>
    <t>2026-05-11</t>
  </si>
  <si>
    <t>2026-05-15</t>
  </si>
  <si>
    <t>WL-01299</t>
  </si>
  <si>
    <t>2026-05-19</t>
  </si>
  <si>
    <t>WL-03152</t>
  </si>
  <si>
    <t>WL-01255</t>
  </si>
  <si>
    <t>2026-05-14</t>
  </si>
  <si>
    <t>WL-01109</t>
  </si>
  <si>
    <t>2026-05-10</t>
  </si>
  <si>
    <t>WL-02315</t>
  </si>
  <si>
    <t>2026-06-02</t>
  </si>
  <si>
    <t>WL-03078</t>
  </si>
  <si>
    <t>2026-06-21</t>
  </si>
  <si>
    <t>2026-06-24</t>
  </si>
  <si>
    <t>WL-01954</t>
  </si>
  <si>
    <t>2026-06-09</t>
  </si>
  <si>
    <t>2026-06-10</t>
  </si>
  <si>
    <t>WL-02098</t>
  </si>
  <si>
    <t>2026-06-28</t>
  </si>
  <si>
    <t>WL-01256</t>
  </si>
  <si>
    <t>2026-06-20</t>
  </si>
  <si>
    <t>WL-01936</t>
  </si>
  <si>
    <t>2026-06-22</t>
  </si>
  <si>
    <t>2026-06-27</t>
  </si>
  <si>
    <t>WL-03690</t>
  </si>
  <si>
    <t>2026-06-25</t>
  </si>
  <si>
    <t>WL-03787</t>
  </si>
  <si>
    <t>2026-06-03</t>
  </si>
  <si>
    <t>2026-06-08</t>
  </si>
  <si>
    <t>2026-06-26</t>
  </si>
  <si>
    <t>WL-01982</t>
  </si>
  <si>
    <t>2026-06-04</t>
  </si>
  <si>
    <t>2026-07-17</t>
  </si>
  <si>
    <t>WL-03071</t>
  </si>
  <si>
    <t>2026-07-25</t>
  </si>
  <si>
    <t>2026-07-26</t>
  </si>
  <si>
    <t>WL-03106</t>
  </si>
  <si>
    <t>2026-07-21</t>
  </si>
  <si>
    <t>2026-07-24</t>
  </si>
  <si>
    <t>WL-03260</t>
  </si>
  <si>
    <t>2026-07-02</t>
  </si>
  <si>
    <t>2026-07-03</t>
  </si>
  <si>
    <t>WL-02358</t>
  </si>
  <si>
    <t>2026-07-14</t>
  </si>
  <si>
    <t>WL-03397</t>
  </si>
  <si>
    <t>2026-07-07</t>
  </si>
  <si>
    <t>WL-02900</t>
  </si>
  <si>
    <t>2026-07-11</t>
  </si>
  <si>
    <t>WL-02436</t>
  </si>
  <si>
    <t>2026-07-15</t>
  </si>
  <si>
    <t>WL-01722</t>
  </si>
  <si>
    <t>WL-03059</t>
  </si>
  <si>
    <t>2026-07-05</t>
  </si>
  <si>
    <t>WL-02618</t>
  </si>
  <si>
    <t>WL-03044</t>
  </si>
  <si>
    <t>2024-02-22</t>
  </si>
  <si>
    <t>2024-11-05</t>
  </si>
  <si>
    <t>2024-11-07</t>
  </si>
  <si>
    <t>WL-02877</t>
  </si>
  <si>
    <t>2024-03-19</t>
  </si>
  <si>
    <t>2024-03-21</t>
  </si>
  <si>
    <t>WL-03102</t>
  </si>
  <si>
    <t>Amendment Date</t>
  </si>
  <si>
    <t>Cert Exists</t>
  </si>
  <si>
    <t>Downstream Skip</t>
  </si>
  <si>
    <t>WL-02933</t>
  </si>
  <si>
    <t>2022-08-05</t>
  </si>
  <si>
    <t>WL-01893</t>
  </si>
  <si>
    <t>2022-08-09</t>
  </si>
  <si>
    <t>WL-03103</t>
  </si>
  <si>
    <t>2022-08-10</t>
  </si>
  <si>
    <t>WL-03085</t>
  </si>
  <si>
    <t>2022-09-01</t>
  </si>
  <si>
    <t>WL-01962</t>
  </si>
  <si>
    <t>2022-09-07</t>
  </si>
  <si>
    <t>WL-03600</t>
  </si>
  <si>
    <t>2022-09-20</t>
  </si>
  <si>
    <t>WL-02493</t>
  </si>
  <si>
    <t>2022-09-22</t>
  </si>
  <si>
    <t>WL-03241</t>
  </si>
  <si>
    <t>2022-09-23</t>
  </si>
  <si>
    <t>2022-10-05</t>
  </si>
  <si>
    <t>WL-01115</t>
  </si>
  <si>
    <t>2022-10-12</t>
  </si>
  <si>
    <t>2022-10-17</t>
  </si>
  <si>
    <t>WL-01088</t>
  </si>
  <si>
    <t>2022-11-08</t>
  </si>
  <si>
    <t>WL-02512</t>
  </si>
  <si>
    <t>2022-11-13</t>
  </si>
  <si>
    <t>WL-02107</t>
  </si>
  <si>
    <t>2022-11-16</t>
  </si>
  <si>
    <t>WL-03636</t>
  </si>
  <si>
    <t>WL-03350</t>
  </si>
  <si>
    <t>2022-11-24</t>
  </si>
  <si>
    <t>WL-03727</t>
  </si>
  <si>
    <t>2022-11-28</t>
  </si>
  <si>
    <t>2022-11-30</t>
  </si>
  <si>
    <t>WL-02036</t>
  </si>
  <si>
    <t>2022-12-02</t>
  </si>
  <si>
    <t>WL-03633</t>
  </si>
  <si>
    <t>2022-12-20</t>
  </si>
  <si>
    <t>WL-02309</t>
  </si>
  <si>
    <t>2022-12-21</t>
  </si>
  <si>
    <t>WL-02957</t>
  </si>
  <si>
    <t>2022-12-26</t>
  </si>
  <si>
    <t>WL-03274</t>
  </si>
  <si>
    <t>2022-12-30</t>
  </si>
  <si>
    <t>WL-03883</t>
  </si>
  <si>
    <t>2023-01-01</t>
  </si>
  <si>
    <t>WL-02724</t>
  </si>
  <si>
    <t>2023-01-22</t>
  </si>
  <si>
    <t>WL-03429</t>
  </si>
  <si>
    <t>2023-02-03</t>
  </si>
  <si>
    <t>WL-03115</t>
  </si>
  <si>
    <t>2023-03-11</t>
  </si>
  <si>
    <t>WL-03617</t>
  </si>
  <si>
    <t>WL-01670</t>
  </si>
  <si>
    <t>WL-02695</t>
  </si>
  <si>
    <t>2023-04-07</t>
  </si>
  <si>
    <t>WL-01438</t>
  </si>
  <si>
    <t>2023-04-22</t>
  </si>
  <si>
    <t>WL-02496</t>
  </si>
  <si>
    <t>WL-02263</t>
  </si>
  <si>
    <t>WL-02278</t>
  </si>
  <si>
    <t>WL-02641</t>
  </si>
  <si>
    <t>2023-06-04</t>
  </si>
  <si>
    <t>WL-03698</t>
  </si>
  <si>
    <t>2023-06-18</t>
  </si>
  <si>
    <t>WL-01302</t>
  </si>
  <si>
    <t>2023-06-20</t>
  </si>
  <si>
    <t>WL-01762</t>
  </si>
  <si>
    <t>2023-06-23</t>
  </si>
  <si>
    <t>WL-03333</t>
  </si>
  <si>
    <t>2023-07-25</t>
  </si>
  <si>
    <t>WL-03183</t>
  </si>
  <si>
    <t>2023-08-03</t>
  </si>
  <si>
    <t>WL-02205</t>
  </si>
  <si>
    <t>2023-08-04</t>
  </si>
  <si>
    <t>WL-02881</t>
  </si>
  <si>
    <t>WL-01864</t>
  </si>
  <si>
    <t>WL-03250</t>
  </si>
  <si>
    <t>WL-03293</t>
  </si>
  <si>
    <t>WL-03666</t>
  </si>
  <si>
    <t>2023-08-31</t>
  </si>
  <si>
    <t>WL-03319</t>
  </si>
  <si>
    <t>WL-02342</t>
  </si>
  <si>
    <t>2023-10-14</t>
  </si>
  <si>
    <t>WL-03908</t>
  </si>
  <si>
    <t>2023-11-07</t>
  </si>
  <si>
    <t>WL-02969</t>
  </si>
  <si>
    <t>2023-11-14</t>
  </si>
  <si>
    <t>WL-02279</t>
  </si>
  <si>
    <t>2023-11-16</t>
  </si>
  <si>
    <t>WL-01874</t>
  </si>
  <si>
    <t>WL-03638</t>
  </si>
  <si>
    <t>2023-11-25</t>
  </si>
  <si>
    <t>WL-02495</t>
  </si>
  <si>
    <t>2023-12-05</t>
  </si>
  <si>
    <t>WL-01361</t>
  </si>
  <si>
    <t>2023-12-09</t>
  </si>
  <si>
    <t>WL-01323</t>
  </si>
  <si>
    <t>2024-01-03</t>
  </si>
  <si>
    <t>WL-01619</t>
  </si>
  <si>
    <t>2024-01-07</t>
  </si>
  <si>
    <t>WL-01621</t>
  </si>
  <si>
    <t>2024-01-11</t>
  </si>
  <si>
    <t>WL-01937</t>
  </si>
  <si>
    <t>2024-01-23</t>
  </si>
  <si>
    <t>WL-01018</t>
  </si>
  <si>
    <t>WL-01929</t>
  </si>
  <si>
    <t>WL-03272</t>
  </si>
  <si>
    <t>2024-03-09</t>
  </si>
  <si>
    <t>WL-01999</t>
  </si>
  <si>
    <t>WL-01027</t>
  </si>
  <si>
    <t>2024-04-01</t>
  </si>
  <si>
    <t>WL-02950</t>
  </si>
  <si>
    <t>2024-04-11</t>
  </si>
  <si>
    <t>2024-04-13</t>
  </si>
  <si>
    <t>WL-02128</t>
  </si>
  <si>
    <t>2024-04-17</t>
  </si>
  <si>
    <t>WL-02592</t>
  </si>
  <si>
    <t>2024-04-20</t>
  </si>
  <si>
    <t>WL-02647</t>
  </si>
  <si>
    <t>2024-05-14</t>
  </si>
  <si>
    <t>2024-05-27</t>
  </si>
  <si>
    <t>WL-01816</t>
  </si>
  <si>
    <t>2024-05-28</t>
  </si>
  <si>
    <t>WL-01411</t>
  </si>
  <si>
    <t>2024-05-29</t>
  </si>
  <si>
    <t>2024-06-21</t>
  </si>
  <si>
    <t>2024-06-28</t>
  </si>
  <si>
    <t>2024-07-01</t>
  </si>
  <si>
    <t>WL-01607</t>
  </si>
  <si>
    <t>2024-07-23</t>
  </si>
  <si>
    <t>WL-01289</t>
  </si>
  <si>
    <t>WL-01573</t>
  </si>
  <si>
    <t>2024-07-31</t>
  </si>
  <si>
    <t>WL-02437</t>
  </si>
  <si>
    <t>2024-08-05</t>
  </si>
  <si>
    <t>WL-01492</t>
  </si>
  <si>
    <t>WL-03524</t>
  </si>
  <si>
    <t>WL-03800</t>
  </si>
  <si>
    <t>WL-03433</t>
  </si>
  <si>
    <t>WL-02527</t>
  </si>
  <si>
    <t>2024-08-29</t>
  </si>
  <si>
    <t>WL-02561</t>
  </si>
  <si>
    <t>WL-03381</t>
  </si>
  <si>
    <t>WL-02401</t>
  </si>
  <si>
    <t>2024-09-05</t>
  </si>
  <si>
    <t>WL-01766</t>
  </si>
  <si>
    <t>WL-02239</t>
  </si>
  <si>
    <t>2024-09-20</t>
  </si>
  <si>
    <t>WL-02310</t>
  </si>
  <si>
    <t>2024-09-21</t>
  </si>
  <si>
    <t>WL-01430</t>
  </si>
  <si>
    <t>2024-10-04</t>
  </si>
  <si>
    <t>2024-10-08</t>
  </si>
  <si>
    <t>WL-03547</t>
  </si>
  <si>
    <t>WL-03757</t>
  </si>
  <si>
    <t>2024-10-11</t>
  </si>
  <si>
    <t>WL-02398</t>
  </si>
  <si>
    <t>2024-10-29</t>
  </si>
  <si>
    <t>WL-03050</t>
  </si>
  <si>
    <t>WL-02442</t>
  </si>
  <si>
    <t>2024-11-19</t>
  </si>
  <si>
    <t>WL-03511</t>
  </si>
  <si>
    <t>WL-02150</t>
  </si>
  <si>
    <t>2024-11-30</t>
  </si>
  <si>
    <t>WL-03583</t>
  </si>
  <si>
    <t>2024-12-02</t>
  </si>
  <si>
    <t>WL-02001</t>
  </si>
  <si>
    <t>2024-12-05</t>
  </si>
  <si>
    <t>WL-02133</t>
  </si>
  <si>
    <t>WL-02026</t>
  </si>
  <si>
    <t>2024-12-07</t>
  </si>
  <si>
    <t>WL-03890</t>
  </si>
  <si>
    <t>WL-03470</t>
  </si>
  <si>
    <t>WL-03335</t>
  </si>
  <si>
    <t>WL-02327</t>
  </si>
  <si>
    <t>2025-01-09</t>
  </si>
  <si>
    <t>WL-01855</t>
  </si>
  <si>
    <t>2025-01-13</t>
  </si>
  <si>
    <t>WL-03650</t>
  </si>
  <si>
    <t>WL-02180</t>
  </si>
  <si>
    <t>WL-02459</t>
  </si>
  <si>
    <t>2025-01-23</t>
  </si>
  <si>
    <t>WL-02143</t>
  </si>
  <si>
    <t>2025-01-30</t>
  </si>
  <si>
    <t>WL-02035</t>
  </si>
  <si>
    <t>2025-02-22</t>
  </si>
  <si>
    <t>WL-01612</t>
  </si>
  <si>
    <t>2025-02-28</t>
  </si>
  <si>
    <t>WL-02431</t>
  </si>
  <si>
    <t>2025-03-15</t>
  </si>
  <si>
    <t>WL-01173</t>
  </si>
  <si>
    <t>2025-03-26</t>
  </si>
  <si>
    <t>WL-01350</t>
  </si>
  <si>
    <t>2025-03-29</t>
  </si>
  <si>
    <t>WL-01349</t>
  </si>
  <si>
    <t>2025-03-31</t>
  </si>
  <si>
    <t>WL-02799</t>
  </si>
  <si>
    <t>2025-04-01</t>
  </si>
  <si>
    <t>WL-03646</t>
  </si>
  <si>
    <t>WL-02821</t>
  </si>
  <si>
    <t>2025-04-18</t>
  </si>
  <si>
    <t>WL-03413</t>
  </si>
  <si>
    <t>2025-04-23</t>
  </si>
  <si>
    <t>WL-03035</t>
  </si>
  <si>
    <t>WL-03135</t>
  </si>
  <si>
    <t>2025-04-26</t>
  </si>
  <si>
    <t>WL-02090</t>
  </si>
  <si>
    <t>2025-04-28</t>
  </si>
  <si>
    <t>WL-02816</t>
  </si>
  <si>
    <t>2025-05-01</t>
  </si>
  <si>
    <t>2025-05-06</t>
  </si>
  <si>
    <t>WL-03261</t>
  </si>
  <si>
    <t>2025-05-16</t>
  </si>
  <si>
    <t>WL-01993</t>
  </si>
  <si>
    <t>2025-05-23</t>
  </si>
  <si>
    <t>WL-02083</t>
  </si>
  <si>
    <t>WL-03503</t>
  </si>
  <si>
    <t>2025-05-26</t>
  </si>
  <si>
    <t>WL-01977</t>
  </si>
  <si>
    <t>2025-05-27</t>
  </si>
  <si>
    <t>WL-01556</t>
  </si>
  <si>
    <t>WL-02109</t>
  </si>
  <si>
    <t>2025-06-25</t>
  </si>
  <si>
    <t>WL-02213</t>
  </si>
  <si>
    <t>2025-06-26</t>
  </si>
  <si>
    <t>WL-01474</t>
  </si>
  <si>
    <t>2025-06-30</t>
  </si>
  <si>
    <t>2025-07-01</t>
  </si>
  <si>
    <t>WL-03031</t>
  </si>
  <si>
    <t>2025-07-04</t>
  </si>
  <si>
    <t>WL-02506</t>
  </si>
  <si>
    <t>2025-07-23</t>
  </si>
  <si>
    <t>WL-01867</t>
  </si>
  <si>
    <t>2025-08-09</t>
  </si>
  <si>
    <t>WL-02031</t>
  </si>
  <si>
    <t>WL-01603</t>
  </si>
  <si>
    <t>WL-03292</t>
  </si>
  <si>
    <t>WL-01275</t>
  </si>
  <si>
    <t>WL-01357</t>
  </si>
  <si>
    <t>2025-10-06</t>
  </si>
  <si>
    <t>WL-01113</t>
  </si>
  <si>
    <t>WL-01845</t>
  </si>
  <si>
    <t>WL-01423</t>
  </si>
  <si>
    <t>WL-03048</t>
  </si>
  <si>
    <t>2025-10-14</t>
  </si>
  <si>
    <t>WL-03679</t>
  </si>
  <si>
    <t>WL-01057</t>
  </si>
  <si>
    <t>2025-10-19</t>
  </si>
  <si>
    <t>WL-01995</t>
  </si>
  <si>
    <t>WL-02085</t>
  </si>
  <si>
    <t>2025-10-30</t>
  </si>
  <si>
    <t>WL-02978</t>
  </si>
  <si>
    <t>WL-03887</t>
  </si>
  <si>
    <t>2025-11-01</t>
  </si>
  <si>
    <t>WL-01947</t>
  </si>
  <si>
    <t>2025-11-12</t>
  </si>
  <si>
    <t>WL-02955</t>
  </si>
  <si>
    <t>2025-11-15</t>
  </si>
  <si>
    <t>WL-01077</t>
  </si>
  <si>
    <t>WL-01534</t>
  </si>
  <si>
    <t>2025-11-23</t>
  </si>
  <si>
    <t>2025-12-14</t>
  </si>
  <si>
    <t>WL-01569</t>
  </si>
  <si>
    <t>2025-12-29</t>
  </si>
  <si>
    <t>WL-01484</t>
  </si>
  <si>
    <t>WL-03475</t>
  </si>
  <si>
    <t>2026-01-05</t>
  </si>
  <si>
    <t>WL-03468</t>
  </si>
  <si>
    <t>2026-01-24</t>
  </si>
  <si>
    <t>WL-02245</t>
  </si>
  <si>
    <t>2026-01-25</t>
  </si>
  <si>
    <t>WL-03045</t>
  </si>
  <si>
    <t>WL-03716</t>
  </si>
  <si>
    <t>WL-02586</t>
  </si>
  <si>
    <t>2026-02-09</t>
  </si>
  <si>
    <t>WL-02699</t>
  </si>
  <si>
    <t>WL-03474</t>
  </si>
  <si>
    <t>2026-02-18</t>
  </si>
  <si>
    <t>WL-02175</t>
  </si>
  <si>
    <t>2026-02-20</t>
  </si>
  <si>
    <t>WL-01114</t>
  </si>
  <si>
    <t>2026-02-28</t>
  </si>
  <si>
    <t>WL-03265</t>
  </si>
  <si>
    <t>2026-03-14</t>
  </si>
  <si>
    <t>WL-01342</t>
  </si>
  <si>
    <t>WL-03368</t>
  </si>
  <si>
    <t>WL-01601</t>
  </si>
  <si>
    <t>2026-04-21</t>
  </si>
  <si>
    <t>WL-03764</t>
  </si>
  <si>
    <t>2026-05-01</t>
  </si>
  <si>
    <t>2026-05-05</t>
  </si>
  <si>
    <t>WL-02868</t>
  </si>
  <si>
    <t>2026-05-13</t>
  </si>
  <si>
    <t>WL-02332</t>
  </si>
  <si>
    <t>2026-05-17</t>
  </si>
  <si>
    <t>WL-02874</t>
  </si>
  <si>
    <t>WL-02829</t>
  </si>
  <si>
    <t>2026-05-25</t>
  </si>
  <si>
    <t>WL-02807</t>
  </si>
  <si>
    <t>2026-05-28</t>
  </si>
  <si>
    <t>WL-03472</t>
  </si>
  <si>
    <t>2026-06-07</t>
  </si>
  <si>
    <t>WL-03878</t>
  </si>
  <si>
    <t>2026-06-18</t>
  </si>
  <si>
    <t>WL-02118</t>
  </si>
  <si>
    <t>2026-06-30</t>
  </si>
  <si>
    <t>WL-02573</t>
  </si>
  <si>
    <t>2026-07-19</t>
  </si>
  <si>
    <t>WL-03688</t>
  </si>
  <si>
    <t>2026-08-17</t>
  </si>
  <si>
    <t>Slip ID</t>
  </si>
  <si>
    <t>Basin</t>
  </si>
  <si>
    <t>Slip Size (ft)</t>
  </si>
  <si>
    <t>Check-in LOA (ft)</t>
  </si>
  <si>
    <t>Billable Length (ft)</t>
  </si>
  <si>
    <t>Rate per Foot</t>
  </si>
  <si>
    <t>Expected Charge</t>
  </si>
  <si>
    <t>Actual Charge</t>
  </si>
  <si>
    <t>Variance</t>
  </si>
  <si>
    <t>LP-0101</t>
  </si>
  <si>
    <t>Ledgport</t>
  </si>
  <si>
    <t>LP-0102</t>
  </si>
  <si>
    <t>LP-0103</t>
  </si>
  <si>
    <t>LP-0104</t>
  </si>
  <si>
    <t>LP-0105</t>
  </si>
  <si>
    <t>LP-0106</t>
  </si>
  <si>
    <t>LP-0107</t>
  </si>
  <si>
    <t>LP-0108</t>
  </si>
  <si>
    <t>LP-0109</t>
  </si>
  <si>
    <t>LP-0110</t>
  </si>
  <si>
    <t>LP-0111</t>
  </si>
  <si>
    <t>LP-0113</t>
  </si>
  <si>
    <t>LP-0114</t>
  </si>
  <si>
    <t>LP-0115</t>
  </si>
  <si>
    <t>LP-0116</t>
  </si>
  <si>
    <t>LP-0117</t>
  </si>
  <si>
    <t>LP-0118</t>
  </si>
  <si>
    <t>LP-0119</t>
  </si>
  <si>
    <t>LP-0120</t>
  </si>
  <si>
    <t>LP-0121</t>
  </si>
  <si>
    <t>LP-0122</t>
  </si>
  <si>
    <t>LP-0123</t>
  </si>
  <si>
    <t>LP-0124</t>
  </si>
  <si>
    <t>LP-0201</t>
  </si>
  <si>
    <t>LP-0202</t>
  </si>
  <si>
    <t>LP-0203</t>
  </si>
  <si>
    <t>LP-0204</t>
  </si>
  <si>
    <t>LP-0205</t>
  </si>
  <si>
    <t>LP-0206</t>
  </si>
  <si>
    <t>LP-0208</t>
  </si>
  <si>
    <t>LP-0209</t>
  </si>
  <si>
    <t>LP-0210</t>
  </si>
  <si>
    <t>LP-0212</t>
  </si>
  <si>
    <t>LP-0213</t>
  </si>
  <si>
    <t>LP-0214</t>
  </si>
  <si>
    <t>LP-0215</t>
  </si>
  <si>
    <t>LP-0216</t>
  </si>
  <si>
    <t>LP-0217</t>
  </si>
  <si>
    <t>LP-0218</t>
  </si>
  <si>
    <t>LP-0219</t>
  </si>
  <si>
    <t>LP-0220</t>
  </si>
  <si>
    <t>LP-0221</t>
  </si>
  <si>
    <t>LP-0222</t>
  </si>
  <si>
    <t>LP-0223</t>
  </si>
  <si>
    <t>LP-0224</t>
  </si>
  <si>
    <t>LP-0301</t>
  </si>
  <si>
    <t>LP-0302</t>
  </si>
  <si>
    <t>LP-0303</t>
  </si>
  <si>
    <t>LP-0305</t>
  </si>
  <si>
    <t>LP-0306</t>
  </si>
  <si>
    <t>LP-0307</t>
  </si>
  <si>
    <t>LP-0309</t>
  </si>
  <si>
    <t>LP-0311</t>
  </si>
  <si>
    <t>LP-0312</t>
  </si>
  <si>
    <t>LP-0313</t>
  </si>
  <si>
    <t>LP-0314</t>
  </si>
  <si>
    <t>LP-0315</t>
  </si>
  <si>
    <t>LP-0316</t>
  </si>
  <si>
    <t>LP-0317</t>
  </si>
  <si>
    <t>LP-0318</t>
  </si>
  <si>
    <t>LP-0320</t>
  </si>
  <si>
    <t>LP-0321</t>
  </si>
  <si>
    <t>LP-0322</t>
  </si>
  <si>
    <t>LP-0323</t>
  </si>
  <si>
    <t>LP-0324</t>
  </si>
  <si>
    <t>LP-0402</t>
  </si>
  <si>
    <t>LP-0403</t>
  </si>
  <si>
    <t>LP-0404</t>
  </si>
  <si>
    <t>LP-0405</t>
  </si>
  <si>
    <t>LP-0406</t>
  </si>
  <si>
    <t>LP-0407</t>
  </si>
  <si>
    <t>LP-0408</t>
  </si>
  <si>
    <t>LP-0409</t>
  </si>
  <si>
    <t>LP-0410</t>
  </si>
  <si>
    <t>LP-0411</t>
  </si>
  <si>
    <t>LP-0412</t>
  </si>
  <si>
    <t>LP-0413</t>
  </si>
  <si>
    <t>LP-0415</t>
  </si>
  <si>
    <t>LP-0416</t>
  </si>
  <si>
    <t>LP-0417</t>
  </si>
  <si>
    <t>LP-0418</t>
  </si>
  <si>
    <t>LP-0419</t>
  </si>
  <si>
    <t>LP-0420</t>
  </si>
  <si>
    <t>LP-0421</t>
  </si>
  <si>
    <t>LP-0422</t>
  </si>
  <si>
    <t>LP-0423</t>
  </si>
  <si>
    <t>LP-0424</t>
  </si>
  <si>
    <t>LP-0502</t>
  </si>
  <si>
    <t>LP-0503</t>
  </si>
  <si>
    <t>LP-0504</t>
  </si>
  <si>
    <t>LP-0505</t>
  </si>
  <si>
    <t>LP-0506</t>
  </si>
  <si>
    <t>LP-0507</t>
  </si>
  <si>
    <t>LP-0508</t>
  </si>
  <si>
    <t>LP-0509</t>
  </si>
  <si>
    <t>LP-0510</t>
  </si>
  <si>
    <t>LP-0511</t>
  </si>
  <si>
    <t>LP-0512</t>
  </si>
  <si>
    <t>LP-0513</t>
  </si>
  <si>
    <t>LP-0514</t>
  </si>
  <si>
    <t>LP-0516</t>
  </si>
  <si>
    <t>LP-0517</t>
  </si>
  <si>
    <t>LP-0518</t>
  </si>
  <si>
    <t>LP-0519</t>
  </si>
  <si>
    <t>LP-0520</t>
  </si>
  <si>
    <t>LP-0521</t>
  </si>
  <si>
    <t>LP-0522</t>
  </si>
  <si>
    <t>LP-0523</t>
  </si>
  <si>
    <t>LP-0524</t>
  </si>
  <si>
    <t>LP-0601</t>
  </si>
  <si>
    <t>LP-0602</t>
  </si>
  <si>
    <t>LP-0603</t>
  </si>
  <si>
    <t>LP-0604</t>
  </si>
  <si>
    <t>LP-0605</t>
  </si>
  <si>
    <t>LP-0606</t>
  </si>
  <si>
    <t>LP-0607</t>
  </si>
  <si>
    <t>LP-0608</t>
  </si>
  <si>
    <t>LP-0609</t>
  </si>
  <si>
    <t>LP-0610</t>
  </si>
  <si>
    <t>LP-0611</t>
  </si>
  <si>
    <t>LP-0612</t>
  </si>
  <si>
    <t>LP-0613</t>
  </si>
  <si>
    <t>LP-0614</t>
  </si>
  <si>
    <t>LP-0615</t>
  </si>
  <si>
    <t>LP-0616</t>
  </si>
  <si>
    <t>LP-0617</t>
  </si>
  <si>
    <t>LP-0618</t>
  </si>
  <si>
    <t>LP-0620</t>
  </si>
  <si>
    <t>LP-0621</t>
  </si>
  <si>
    <t>LP-0622</t>
  </si>
  <si>
    <t>LP-0623</t>
  </si>
  <si>
    <t>LP-0624</t>
  </si>
  <si>
    <t>LP-0701</t>
  </si>
  <si>
    <t>LP-0702</t>
  </si>
  <si>
    <t>LP-0703</t>
  </si>
  <si>
    <t>LP-0704</t>
  </si>
  <si>
    <t>LP-0705</t>
  </si>
  <si>
    <t>LP-0706</t>
  </si>
  <si>
    <t>LP-0707</t>
  </si>
  <si>
    <t>LP-0708</t>
  </si>
  <si>
    <t>LP-0709</t>
  </si>
  <si>
    <t>LP-0710</t>
  </si>
  <si>
    <t>LP-0711</t>
  </si>
  <si>
    <t>LP-0712</t>
  </si>
  <si>
    <t>LP-0713</t>
  </si>
  <si>
    <t>LP-0714</t>
  </si>
  <si>
    <t>LP-0715</t>
  </si>
  <si>
    <t>LP-0716</t>
  </si>
  <si>
    <t>LP-0717</t>
  </si>
  <si>
    <t>LP-0718</t>
  </si>
  <si>
    <t>LP-0719</t>
  </si>
  <si>
    <t>LP-0720</t>
  </si>
  <si>
    <t>LP-0722</t>
  </si>
  <si>
    <t>LP-0723</t>
  </si>
  <si>
    <t>LP-0724</t>
  </si>
  <si>
    <t>LP-0801</t>
  </si>
  <si>
    <t>LP-0802</t>
  </si>
  <si>
    <t>LP-0803</t>
  </si>
  <si>
    <t>LP-0805</t>
  </si>
  <si>
    <t>LP-0806</t>
  </si>
  <si>
    <t>LP-0807</t>
  </si>
  <si>
    <t>LP-0808</t>
  </si>
  <si>
    <t>LP-0809</t>
  </si>
  <si>
    <t>LP-0811</t>
  </si>
  <si>
    <t>LP-0812</t>
  </si>
  <si>
    <t>LP-0813</t>
  </si>
  <si>
    <t>LP-0814</t>
  </si>
  <si>
    <t>LP-0815</t>
  </si>
  <si>
    <t>LP-0816</t>
  </si>
  <si>
    <t>LP-0817</t>
  </si>
  <si>
    <t>LP-0818</t>
  </si>
  <si>
    <t>LP-0819</t>
  </si>
  <si>
    <t>LP-0820</t>
  </si>
  <si>
    <t>LP-0821</t>
  </si>
  <si>
    <t>LP-0822</t>
  </si>
  <si>
    <t>LP-0823</t>
  </si>
  <si>
    <t>LP-0824</t>
  </si>
  <si>
    <t>LP-0901</t>
  </si>
  <si>
    <t>LP-0902</t>
  </si>
  <si>
    <t>LP-0903</t>
  </si>
  <si>
    <t>LP-0904</t>
  </si>
  <si>
    <t>LP-0905</t>
  </si>
  <si>
    <t>LP-0906</t>
  </si>
  <si>
    <t>LP-0907</t>
  </si>
  <si>
    <t>LP-0908</t>
  </si>
  <si>
    <t>LP-0909</t>
  </si>
  <si>
    <t>LP-0910</t>
  </si>
  <si>
    <t>LP-0911</t>
  </si>
  <si>
    <t>LP-0912</t>
  </si>
  <si>
    <t>LP-0913</t>
  </si>
  <si>
    <t>LP-0914</t>
  </si>
  <si>
    <t>LP-0915</t>
  </si>
  <si>
    <t>LP-0917</t>
  </si>
  <si>
    <t>LP-0918</t>
  </si>
  <si>
    <t>LP-0919</t>
  </si>
  <si>
    <t>LP-0920</t>
  </si>
  <si>
    <t>LP-0921</t>
  </si>
  <si>
    <t>LP-0922</t>
  </si>
  <si>
    <t>LP-0923</t>
  </si>
  <si>
    <t>LP-0924</t>
  </si>
  <si>
    <t>LP-1001</t>
  </si>
  <si>
    <t>LP-1002</t>
  </si>
  <si>
    <t>LP-1003</t>
  </si>
  <si>
    <t>LP-1004</t>
  </si>
  <si>
    <t>LP-1005</t>
  </si>
  <si>
    <t>LP-1006</t>
  </si>
  <si>
    <t>LP-1007</t>
  </si>
  <si>
    <t>LP-1008</t>
  </si>
  <si>
    <t>LP-1009</t>
  </si>
  <si>
    <t>LP-1010</t>
  </si>
  <si>
    <t>LP-1011</t>
  </si>
  <si>
    <t>LP-1012</t>
  </si>
  <si>
    <t>LP-1013</t>
  </si>
  <si>
    <t>LP-1014</t>
  </si>
  <si>
    <t>LP-1016</t>
  </si>
  <si>
    <t>LP-1017</t>
  </si>
  <si>
    <t>LP-1018</t>
  </si>
  <si>
    <t>LP-1020</t>
  </si>
  <si>
    <t>LP-1021</t>
  </si>
  <si>
    <t>LP-1022</t>
  </si>
  <si>
    <t>LP-1023</t>
  </si>
  <si>
    <t>LP-1024</t>
  </si>
  <si>
    <t>LP-1102</t>
  </si>
  <si>
    <t>LP-1103</t>
  </si>
  <si>
    <t>LP-1104</t>
  </si>
  <si>
    <t>LP-1105</t>
  </si>
  <si>
    <t>LP-1106</t>
  </si>
  <si>
    <t>LP-1107</t>
  </si>
  <si>
    <t>LP-1108</t>
  </si>
  <si>
    <t>LP-1109</t>
  </si>
  <si>
    <t>LP-1110</t>
  </si>
  <si>
    <t>LP-1111</t>
  </si>
  <si>
    <t>LP-1112</t>
  </si>
  <si>
    <t>LP-1113</t>
  </si>
  <si>
    <t>LP-1114</t>
  </si>
  <si>
    <t>LP-1115</t>
  </si>
  <si>
    <t>LP-1116</t>
  </si>
  <si>
    <t>LP-1117</t>
  </si>
  <si>
    <t>LP-1118</t>
  </si>
  <si>
    <t>LP-1119</t>
  </si>
  <si>
    <t>LP-1120</t>
  </si>
  <si>
    <t>VB-0101</t>
  </si>
  <si>
    <t>Vessbank</t>
  </si>
  <si>
    <t>VB-0102</t>
  </si>
  <si>
    <t>VB-0103</t>
  </si>
  <si>
    <t>VB-0105</t>
  </si>
  <si>
    <t>VB-0106</t>
  </si>
  <si>
    <t>VB-0107</t>
  </si>
  <si>
    <t>VB-0108</t>
  </si>
  <si>
    <t>VB-0109</t>
  </si>
  <si>
    <t>VB-0110</t>
  </si>
  <si>
    <t>VB-0111</t>
  </si>
  <si>
    <t>VB-0112</t>
  </si>
  <si>
    <t>VB-0113</t>
  </si>
  <si>
    <t>VB-0114</t>
  </si>
  <si>
    <t>VB-0115</t>
  </si>
  <si>
    <t>VB-0116</t>
  </si>
  <si>
    <t>VB-0117</t>
  </si>
  <si>
    <t>VB-0118</t>
  </si>
  <si>
    <t>VB-0119</t>
  </si>
  <si>
    <t>VB-0120</t>
  </si>
  <si>
    <t>VB-0121</t>
  </si>
  <si>
    <t>VB-0122</t>
  </si>
  <si>
    <t>VB-0123</t>
  </si>
  <si>
    <t>VB-0124</t>
  </si>
  <si>
    <t>VB-0201</t>
  </si>
  <si>
    <t>VB-0202</t>
  </si>
  <si>
    <t>VB-0203</t>
  </si>
  <si>
    <t>VB-0204</t>
  </si>
  <si>
    <t>VB-0205</t>
  </si>
  <si>
    <t>VB-0206</t>
  </si>
  <si>
    <t>VB-0207</t>
  </si>
  <si>
    <t>VB-0208</t>
  </si>
  <si>
    <t>VB-0209</t>
  </si>
  <si>
    <t>VB-0210</t>
  </si>
  <si>
    <t>VB-0211</t>
  </si>
  <si>
    <t>VB-0212</t>
  </si>
  <si>
    <t>VB-0213</t>
  </si>
  <si>
    <t>VB-0214</t>
  </si>
  <si>
    <t>VB-0215</t>
  </si>
  <si>
    <t>VB-0216</t>
  </si>
  <si>
    <t>VB-0217</t>
  </si>
  <si>
    <t>VB-0218</t>
  </si>
  <si>
    <t>VB-0219</t>
  </si>
  <si>
    <t>VB-0220</t>
  </si>
  <si>
    <t>VB-0221</t>
  </si>
  <si>
    <t>VB-0222</t>
  </si>
  <si>
    <t>VB-0223</t>
  </si>
  <si>
    <t>VB-0224</t>
  </si>
  <si>
    <t>VB-0302</t>
  </si>
  <si>
    <t>VB-0303</t>
  </si>
  <si>
    <t>VB-0304</t>
  </si>
  <si>
    <t>VB-0305</t>
  </si>
  <si>
    <t>VB-0306</t>
  </si>
  <si>
    <t>VB-0307</t>
  </si>
  <si>
    <t>VB-0308</t>
  </si>
  <si>
    <t>VB-0309</t>
  </si>
  <si>
    <t>VB-0310</t>
  </si>
  <si>
    <t>VB-0311</t>
  </si>
  <si>
    <t>VB-0312</t>
  </si>
  <si>
    <t>VB-0314</t>
  </si>
  <si>
    <t>VB-0315</t>
  </si>
  <si>
    <t>VB-0316</t>
  </si>
  <si>
    <t>VB-0317</t>
  </si>
  <si>
    <t>VB-0318</t>
  </si>
  <si>
    <t>VB-0319</t>
  </si>
  <si>
    <t>VB-0320</t>
  </si>
  <si>
    <t>VB-0321</t>
  </si>
  <si>
    <t>VB-0322</t>
  </si>
  <si>
    <t>VB-0323</t>
  </si>
  <si>
    <t>VB-0324</t>
  </si>
  <si>
    <t>VB-0401</t>
  </si>
  <si>
    <t>VB-0402</t>
  </si>
  <si>
    <t>VB-0403</t>
  </si>
  <si>
    <t>VB-0405</t>
  </si>
  <si>
    <t>VB-0406</t>
  </si>
  <si>
    <t>VB-0407</t>
  </si>
  <si>
    <t>VB-0408</t>
  </si>
  <si>
    <t>VB-0409</t>
  </si>
  <si>
    <t>VB-0410</t>
  </si>
  <si>
    <t>VB-0411</t>
  </si>
  <si>
    <t>VB-0412</t>
  </si>
  <si>
    <t>VB-0413</t>
  </si>
  <si>
    <t>VB-0414</t>
  </si>
  <si>
    <t>VB-0415</t>
  </si>
  <si>
    <t>VB-0416</t>
  </si>
  <si>
    <t>VB-0417</t>
  </si>
  <si>
    <t>VB-0418</t>
  </si>
  <si>
    <t>VB-0419</t>
  </si>
  <si>
    <t>VB-0420</t>
  </si>
  <si>
    <t>VB-0422</t>
  </si>
  <si>
    <t>VB-0423</t>
  </si>
  <si>
    <t>VB-0424</t>
  </si>
  <si>
    <t>VB-0501</t>
  </si>
  <si>
    <t>VB-0502</t>
  </si>
  <si>
    <t>VB-0504</t>
  </si>
  <si>
    <t>VB-0505</t>
  </si>
  <si>
    <t>VB-0506</t>
  </si>
  <si>
    <t>VB-0507</t>
  </si>
  <si>
    <t>VB-0508</t>
  </si>
  <si>
    <t>VB-0509</t>
  </si>
  <si>
    <t>VB-0510</t>
  </si>
  <si>
    <t>VB-0511</t>
  </si>
  <si>
    <t>VB-0512</t>
  </si>
  <si>
    <t>VB-0513</t>
  </si>
  <si>
    <t>VB-0514</t>
  </si>
  <si>
    <t>VB-0515</t>
  </si>
  <si>
    <t>VB-0517</t>
  </si>
  <si>
    <t>VB-0518</t>
  </si>
  <si>
    <t>VB-0519</t>
  </si>
  <si>
    <t>VB-0520</t>
  </si>
  <si>
    <t>VB-0521</t>
  </si>
  <si>
    <t>VB-0522</t>
  </si>
  <si>
    <t>VB-0523</t>
  </si>
  <si>
    <t>VB-0524</t>
  </si>
  <si>
    <t>VB-0601</t>
  </si>
  <si>
    <t>VB-0602</t>
  </si>
  <si>
    <t>VB-0603</t>
  </si>
  <si>
    <t>VB-0604</t>
  </si>
  <si>
    <t>VB-0605</t>
  </si>
  <si>
    <t>VB-0606</t>
  </si>
  <si>
    <t>VB-0607</t>
  </si>
  <si>
    <t>VB-0609</t>
  </si>
  <si>
    <t>VB-0610</t>
  </si>
  <si>
    <t>VB-0611</t>
  </si>
  <si>
    <t>VB-0612</t>
  </si>
  <si>
    <t>VB-0613</t>
  </si>
  <si>
    <t>VB-0614</t>
  </si>
  <si>
    <t>VB-0615</t>
  </si>
  <si>
    <t>VB-0616</t>
  </si>
  <si>
    <t>VB-0617</t>
  </si>
  <si>
    <t>VB-0618</t>
  </si>
  <si>
    <t>VB-0619</t>
  </si>
  <si>
    <t>VB-0620</t>
  </si>
  <si>
    <t>VB-0621</t>
  </si>
  <si>
    <t>VB-0622</t>
  </si>
  <si>
    <t>VB-0623</t>
  </si>
  <si>
    <t>VB-0624</t>
  </si>
  <si>
    <t>VB-0701</t>
  </si>
  <si>
    <t>VB-0703</t>
  </si>
  <si>
    <t>VB-0704</t>
  </si>
  <si>
    <t>VB-0705</t>
  </si>
  <si>
    <t>VB-0706</t>
  </si>
  <si>
    <t>VB-0707</t>
  </si>
  <si>
    <t>VB-0708</t>
  </si>
  <si>
    <t>VB-0709</t>
  </si>
  <si>
    <t>VB-0710</t>
  </si>
  <si>
    <t>VB-0711</t>
  </si>
  <si>
    <t>VB-0712</t>
  </si>
  <si>
    <t>VB-0713</t>
  </si>
  <si>
    <t>VB-0714</t>
  </si>
  <si>
    <t>VB-0715</t>
  </si>
  <si>
    <t>VB-0716</t>
  </si>
  <si>
    <t>VB-0717</t>
  </si>
  <si>
    <t>VB-0718</t>
  </si>
  <si>
    <t>VB-0719</t>
  </si>
  <si>
    <t>VB-0720</t>
  </si>
  <si>
    <t>VB-0721</t>
  </si>
  <si>
    <t>VB-0722</t>
  </si>
  <si>
    <t>VB-0723</t>
  </si>
  <si>
    <t>VB-0724</t>
  </si>
  <si>
    <t>VB-0801</t>
  </si>
  <si>
    <t>VB-0802</t>
  </si>
  <si>
    <t>VB-0803</t>
  </si>
  <si>
    <t>VB-0804</t>
  </si>
  <si>
    <t>VB-0805</t>
  </si>
  <si>
    <t>VB-0806</t>
  </si>
  <si>
    <t>VB-0807</t>
  </si>
  <si>
    <t>VB-0808</t>
  </si>
  <si>
    <t>VB-0810</t>
  </si>
  <si>
    <t>VB-0811</t>
  </si>
  <si>
    <t>VB-0812</t>
  </si>
  <si>
    <t>VB-0813</t>
  </si>
  <si>
    <t>VB-0814</t>
  </si>
  <si>
    <t>VB-0815</t>
  </si>
  <si>
    <t>VB-0816</t>
  </si>
  <si>
    <t>VB-0817</t>
  </si>
  <si>
    <t>VB-0818</t>
  </si>
  <si>
    <t>VB-0819</t>
  </si>
  <si>
    <t>VB-0820</t>
  </si>
  <si>
    <t>VB-0821</t>
  </si>
  <si>
    <t>VB-0822</t>
  </si>
  <si>
    <t>VB-0823</t>
  </si>
  <si>
    <t>VB-0901</t>
  </si>
  <si>
    <t>VB-0902</t>
  </si>
  <si>
    <t>VB-0903</t>
  </si>
  <si>
    <t>VB-0904</t>
  </si>
  <si>
    <t>VB-0905</t>
  </si>
  <si>
    <t>VB-0906</t>
  </si>
  <si>
    <t>VB-0907</t>
  </si>
  <si>
    <t>VB-0908</t>
  </si>
  <si>
    <t>VB-0909</t>
  </si>
  <si>
    <t>VB-0910</t>
  </si>
  <si>
    <t>VB-0911</t>
  </si>
  <si>
    <t>VB-0912</t>
  </si>
  <si>
    <t>VB-0913</t>
  </si>
  <si>
    <t>VB-0914</t>
  </si>
  <si>
    <t>VB-0915</t>
  </si>
  <si>
    <t>VB-0916</t>
  </si>
  <si>
    <t>VB-0917</t>
  </si>
  <si>
    <t>VB-0918</t>
  </si>
  <si>
    <t>VB-0919</t>
  </si>
  <si>
    <t>VB-0920</t>
  </si>
  <si>
    <t>VB-0921</t>
  </si>
  <si>
    <t>VB-0923</t>
  </si>
  <si>
    <t>VB-0924</t>
  </si>
  <si>
    <t>VB-1001</t>
  </si>
  <si>
    <t>VB-1002</t>
  </si>
  <si>
    <t>VB-1004</t>
  </si>
  <si>
    <t>VB-1005</t>
  </si>
  <si>
    <t>VB-1006</t>
  </si>
  <si>
    <t>VB-1007</t>
  </si>
  <si>
    <t>VB-1008</t>
  </si>
  <si>
    <t>VB-1009</t>
  </si>
  <si>
    <t>VB-1010</t>
  </si>
  <si>
    <t>VB-1011</t>
  </si>
  <si>
    <t>VB-1012</t>
  </si>
  <si>
    <t>VB-1013</t>
  </si>
  <si>
    <t>VB-1014</t>
  </si>
  <si>
    <t>VB-1015</t>
  </si>
  <si>
    <t>VB-1016</t>
  </si>
  <si>
    <t>VB-1017</t>
  </si>
  <si>
    <t>VB-1018</t>
  </si>
  <si>
    <t>VB-1019</t>
  </si>
  <si>
    <t>VB-1020</t>
  </si>
  <si>
    <t>VB-1021</t>
  </si>
  <si>
    <t>VB-1022</t>
  </si>
  <si>
    <t>VB-1023</t>
  </si>
  <si>
    <t>VB-1024</t>
  </si>
  <si>
    <t>EW-0101</t>
  </si>
  <si>
    <t>Eastwey</t>
  </si>
  <si>
    <t>EW-0102</t>
  </si>
  <si>
    <t>EW-0103</t>
  </si>
  <si>
    <t>EW-0105</t>
  </si>
  <si>
    <t>EW-0106</t>
  </si>
  <si>
    <t>EW-0107</t>
  </si>
  <si>
    <t>EW-0108</t>
  </si>
  <si>
    <t>EW-0109</t>
  </si>
  <si>
    <t>EW-0110</t>
  </si>
  <si>
    <t>EW-0111</t>
  </si>
  <si>
    <t>EW-0112</t>
  </si>
  <si>
    <t>EW-0113</t>
  </si>
  <si>
    <t>EW-0114</t>
  </si>
  <si>
    <t>EW-0115</t>
  </si>
  <si>
    <t>EW-0116</t>
  </si>
  <si>
    <t>EW-0118</t>
  </si>
  <si>
    <t>EW-0119</t>
  </si>
  <si>
    <t>EW-0120</t>
  </si>
  <si>
    <t>EW-0121</t>
  </si>
  <si>
    <t>EW-0122</t>
  </si>
  <si>
    <t>EW-0123</t>
  </si>
  <si>
    <t>EW-0124</t>
  </si>
  <si>
    <t>EW-0201</t>
  </si>
  <si>
    <t>EW-0202</t>
  </si>
  <si>
    <t>EW-0203</t>
  </si>
  <si>
    <t>EW-0204</t>
  </si>
  <si>
    <t>EW-0206</t>
  </si>
  <si>
    <t>EW-0207</t>
  </si>
  <si>
    <t>EW-0208</t>
  </si>
  <si>
    <t>EW-0209</t>
  </si>
  <si>
    <t>EW-0210</t>
  </si>
  <si>
    <t>EW-0211</t>
  </si>
  <si>
    <t>EW-0212</t>
  </si>
  <si>
    <t>EW-0214</t>
  </si>
  <si>
    <t>EW-0215</t>
  </si>
  <si>
    <t>EW-0216</t>
  </si>
  <si>
    <t>EW-0217</t>
  </si>
  <si>
    <t>EW-0218</t>
  </si>
  <si>
    <t>EW-0219</t>
  </si>
  <si>
    <t>EW-0220</t>
  </si>
  <si>
    <t>EW-0221</t>
  </si>
  <si>
    <t>EW-0222</t>
  </si>
  <si>
    <t>EW-0223</t>
  </si>
  <si>
    <t>EW-0224</t>
  </si>
  <si>
    <t>EW-0302</t>
  </si>
  <si>
    <t>EW-0303</t>
  </si>
  <si>
    <t>EW-0304</t>
  </si>
  <si>
    <t>EW-0305</t>
  </si>
  <si>
    <t>EW-0306</t>
  </si>
  <si>
    <t>EW-0307</t>
  </si>
  <si>
    <t>EW-0308</t>
  </si>
  <si>
    <t>EW-0309</t>
  </si>
  <si>
    <t>EW-0311</t>
  </si>
  <si>
    <t>EW-0312</t>
  </si>
  <si>
    <t>EW-0313</t>
  </si>
  <si>
    <t>EW-0314</t>
  </si>
  <si>
    <t>EW-0315</t>
  </si>
  <si>
    <t>EW-0316</t>
  </si>
  <si>
    <t>EW-0317</t>
  </si>
  <si>
    <t>EW-0318</t>
  </si>
  <si>
    <t>EW-0319</t>
  </si>
  <si>
    <t>EW-0321</t>
  </si>
  <si>
    <t>EW-0322</t>
  </si>
  <si>
    <t>EW-0323</t>
  </si>
  <si>
    <t>EW-0324</t>
  </si>
  <si>
    <t>EW-0401</t>
  </si>
  <si>
    <t>EW-0402</t>
  </si>
  <si>
    <t>EW-0403</t>
  </si>
  <si>
    <t>EW-0404</t>
  </si>
  <si>
    <t>EW-0405</t>
  </si>
  <si>
    <t>EW-0406</t>
  </si>
  <si>
    <t>EW-0407</t>
  </si>
  <si>
    <t>EW-0408</t>
  </si>
  <si>
    <t>EW-0409</t>
  </si>
  <si>
    <t>EW-0410</t>
  </si>
  <si>
    <t>EW-0411</t>
  </si>
  <si>
    <t>EW-0412</t>
  </si>
  <si>
    <t>EW-0413</t>
  </si>
  <si>
    <t>EW-0414</t>
  </si>
  <si>
    <t>EW-0415</t>
  </si>
  <si>
    <t>EW-0416</t>
  </si>
  <si>
    <t>EW-0417</t>
  </si>
  <si>
    <t>EW-0418</t>
  </si>
  <si>
    <t>EW-0419</t>
  </si>
  <si>
    <t>EW-0420</t>
  </si>
  <si>
    <t>EW-0421</t>
  </si>
  <si>
    <t>EW-0423</t>
  </si>
  <si>
    <t>EW-0424</t>
  </si>
  <si>
    <t>EW-0502</t>
  </si>
  <si>
    <t>EW-0503</t>
  </si>
  <si>
    <t>EW-0504</t>
  </si>
  <si>
    <t>EW-0505</t>
  </si>
  <si>
    <t>EW-0506</t>
  </si>
  <si>
    <t>EW-0507</t>
  </si>
  <si>
    <t>EW-0508</t>
  </si>
  <si>
    <t>EW-0510</t>
  </si>
  <si>
    <t>EW-0511</t>
  </si>
  <si>
    <t>EW-0512</t>
  </si>
  <si>
    <t>EW-0513</t>
  </si>
  <si>
    <t>EW-0514</t>
  </si>
  <si>
    <t>EW-0515</t>
  </si>
  <si>
    <t>EW-0516</t>
  </si>
  <si>
    <t>EW-0517</t>
  </si>
  <si>
    <t>EW-0518</t>
  </si>
  <si>
    <t>EW-0519</t>
  </si>
  <si>
    <t>EW-0520</t>
  </si>
  <si>
    <t>EW-0521</t>
  </si>
  <si>
    <t>EW-0522</t>
  </si>
  <si>
    <t>EW-0523</t>
  </si>
  <si>
    <t>EW-0524</t>
  </si>
  <si>
    <t>EW-0601</t>
  </si>
  <si>
    <t>EW-0602</t>
  </si>
  <si>
    <t>EW-0603</t>
  </si>
  <si>
    <t>EW-0604</t>
  </si>
  <si>
    <t>EW-0605</t>
  </si>
  <si>
    <t>EW-0606</t>
  </si>
  <si>
    <t>EW-0607</t>
  </si>
  <si>
    <t>EW-0608</t>
  </si>
  <si>
    <t>EW-0609</t>
  </si>
  <si>
    <t>EW-0610</t>
  </si>
  <si>
    <t>EW-0611</t>
  </si>
  <si>
    <t>EW-0614</t>
  </si>
  <si>
    <t>EW-0615</t>
  </si>
  <si>
    <t>EW-0616</t>
  </si>
  <si>
    <t>EW-0617</t>
  </si>
  <si>
    <t>EW-0618</t>
  </si>
  <si>
    <t>EW-0621</t>
  </si>
  <si>
    <t>EW-0623</t>
  </si>
  <si>
    <t>EW-0624</t>
  </si>
  <si>
    <t>EW-0702</t>
  </si>
  <si>
    <t>EW-0703</t>
  </si>
  <si>
    <t>EW-0704</t>
  </si>
  <si>
    <t>EW-0705</t>
  </si>
  <si>
    <t>EW-0706</t>
  </si>
  <si>
    <t>EW-0708</t>
  </si>
  <si>
    <t>EW-0709</t>
  </si>
  <si>
    <t>EW-0710</t>
  </si>
  <si>
    <t>EW-0712</t>
  </si>
  <si>
    <t>EW-0713</t>
  </si>
  <si>
    <t>EW-0714</t>
  </si>
  <si>
    <t>EW-0715</t>
  </si>
  <si>
    <t>EW-0716</t>
  </si>
  <si>
    <t>EW-0717</t>
  </si>
  <si>
    <t>EW-0718</t>
  </si>
  <si>
    <t>EW-0719</t>
  </si>
  <si>
    <t>EW-0720</t>
  </si>
  <si>
    <t>EW-0721</t>
  </si>
  <si>
    <t>EW-0722</t>
  </si>
  <si>
    <t>EW-0723</t>
  </si>
  <si>
    <t>EW-0724</t>
  </si>
  <si>
    <t>EW-0801</t>
  </si>
  <si>
    <t>EW-0802</t>
  </si>
  <si>
    <t>EW-0803</t>
  </si>
  <si>
    <t>EW-0804</t>
  </si>
  <si>
    <t>EW-0805</t>
  </si>
  <si>
    <t>EW-0806</t>
  </si>
  <si>
    <t>EW-0807</t>
  </si>
  <si>
    <t>EW-0808</t>
  </si>
  <si>
    <t>EW-0809</t>
  </si>
  <si>
    <t>EW-0810</t>
  </si>
  <si>
    <t>EW-0811</t>
  </si>
  <si>
    <t>EW-0812</t>
  </si>
  <si>
    <t>EW-0813</t>
  </si>
  <si>
    <t>EW-0814</t>
  </si>
  <si>
    <t>EW-0815</t>
  </si>
  <si>
    <t>EW-0816</t>
  </si>
  <si>
    <t>EW-0817</t>
  </si>
  <si>
    <t>EW-0818</t>
  </si>
  <si>
    <t>EW-0819</t>
  </si>
  <si>
    <t>EW-0821</t>
  </si>
  <si>
    <t>EW-0822</t>
  </si>
  <si>
    <t>EW-0823</t>
  </si>
  <si>
    <t>EW-0901</t>
  </si>
  <si>
    <t>EW-0902</t>
  </si>
  <si>
    <t>EW-0903</t>
  </si>
  <si>
    <t>EW-0904</t>
  </si>
  <si>
    <t>EW-0905</t>
  </si>
  <si>
    <t>EW-0906</t>
  </si>
  <si>
    <t>EW-0907</t>
  </si>
  <si>
    <t>EW-0908</t>
  </si>
  <si>
    <t>EW-0909</t>
  </si>
  <si>
    <t>EW-0910</t>
  </si>
  <si>
    <t>EW-0911</t>
  </si>
  <si>
    <t>EW-0912</t>
  </si>
  <si>
    <t>EW-0913</t>
  </si>
  <si>
    <t>EW-0914</t>
  </si>
  <si>
    <t>EW-0915</t>
  </si>
  <si>
    <t>EW-0916</t>
  </si>
  <si>
    <t>EW-0917</t>
  </si>
  <si>
    <t>EW-0918</t>
  </si>
  <si>
    <t>EW-0919</t>
  </si>
  <si>
    <t>EW-0920</t>
  </si>
  <si>
    <t>EW-0921</t>
  </si>
  <si>
    <t>EW-0922</t>
  </si>
  <si>
    <t>EW-0923</t>
  </si>
  <si>
    <t>EW-1001</t>
  </si>
  <si>
    <t>EW-1002</t>
  </si>
  <si>
    <t>EW-1003</t>
  </si>
  <si>
    <t>EW-1005</t>
  </si>
  <si>
    <t>EW-1007</t>
  </si>
  <si>
    <t>EW-1008</t>
  </si>
  <si>
    <t>EW-1010</t>
  </si>
  <si>
    <t>EW-1011</t>
  </si>
  <si>
    <t>EW-1012</t>
  </si>
  <si>
    <t>EW-1013</t>
  </si>
  <si>
    <t>EW-1014</t>
  </si>
  <si>
    <t>EW-1015</t>
  </si>
  <si>
    <t>EW-1016</t>
  </si>
  <si>
    <t>EW-1017</t>
  </si>
  <si>
    <t>EW-1018</t>
  </si>
  <si>
    <t>EW-1019</t>
  </si>
  <si>
    <t>EW-1021</t>
  </si>
  <si>
    <t>EW-1022</t>
  </si>
  <si>
    <t>EW-1023</t>
  </si>
  <si>
    <t>EW-1024</t>
  </si>
  <si>
    <t>GW-0102</t>
  </si>
  <si>
    <t>Gullwing</t>
  </si>
  <si>
    <t>GW-0103</t>
  </si>
  <si>
    <t>GW-0104</t>
  </si>
  <si>
    <t>GW-0105</t>
  </si>
  <si>
    <t>GW-0106</t>
  </si>
  <si>
    <t>GW-0108</t>
  </si>
  <si>
    <t>GW-0109</t>
  </si>
  <si>
    <t>GW-0110</t>
  </si>
  <si>
    <t>GW-0111</t>
  </si>
  <si>
    <t>GW-0112</t>
  </si>
  <si>
    <t>GW-0113</t>
  </si>
  <si>
    <t>GW-0114</t>
  </si>
  <si>
    <t>GW-0115</t>
  </si>
  <si>
    <t>GW-0116</t>
  </si>
  <si>
    <t>GW-0117</t>
  </si>
  <si>
    <t>GW-0118</t>
  </si>
  <si>
    <t>GW-0119</t>
  </si>
  <si>
    <t>GW-0120</t>
  </si>
  <si>
    <t>GW-0121</t>
  </si>
  <si>
    <t>GW-0122</t>
  </si>
  <si>
    <t>GW-0123</t>
  </si>
  <si>
    <t>GW-0201</t>
  </si>
  <si>
    <t>GW-0202</t>
  </si>
  <si>
    <t>GW-0204</t>
  </si>
  <si>
    <t>GW-0205</t>
  </si>
  <si>
    <t>GW-0206</t>
  </si>
  <si>
    <t>GW-0207</t>
  </si>
  <si>
    <t>GW-0208</t>
  </si>
  <si>
    <t>GW-0209</t>
  </si>
  <si>
    <t>GW-0210</t>
  </si>
  <si>
    <t>GW-0211</t>
  </si>
  <si>
    <t>GW-0212</t>
  </si>
  <si>
    <t>GW-0213</t>
  </si>
  <si>
    <t>GW-0214</t>
  </si>
  <si>
    <t>GW-0215</t>
  </si>
  <si>
    <t>GW-0216</t>
  </si>
  <si>
    <t>GW-0217</t>
  </si>
  <si>
    <t>GW-0218</t>
  </si>
  <si>
    <t>GW-0220</t>
  </si>
  <si>
    <t>GW-0221</t>
  </si>
  <si>
    <t>GW-0222</t>
  </si>
  <si>
    <t>GW-0223</t>
  </si>
  <si>
    <t>GW-0301</t>
  </si>
  <si>
    <t>GW-0302</t>
  </si>
  <si>
    <t>GW-0303</t>
  </si>
  <si>
    <t>GW-0304</t>
  </si>
  <si>
    <t>GW-0305</t>
  </si>
  <si>
    <t>GW-0306</t>
  </si>
  <si>
    <t>GW-0307</t>
  </si>
  <si>
    <t>GW-0308</t>
  </si>
  <si>
    <t>GW-0309</t>
  </si>
  <si>
    <t>GW-0310</t>
  </si>
  <si>
    <t>GW-0312</t>
  </si>
  <si>
    <t>GW-0313</t>
  </si>
  <si>
    <t>GW-0315</t>
  </si>
  <si>
    <t>GW-0316</t>
  </si>
  <si>
    <t>GW-0317</t>
  </si>
  <si>
    <t>GW-0318</t>
  </si>
  <si>
    <t>GW-0320</t>
  </si>
  <si>
    <t>GW-0321</t>
  </si>
  <si>
    <t>GW-0322</t>
  </si>
  <si>
    <t>GW-0323</t>
  </si>
  <si>
    <t>GW-0401</t>
  </si>
  <si>
    <t>GW-0402</t>
  </si>
  <si>
    <t>GW-0403</t>
  </si>
  <si>
    <t>GW-0404</t>
  </si>
  <si>
    <t>GW-0405</t>
  </si>
  <si>
    <t>GW-0406</t>
  </si>
  <si>
    <t>GW-0407</t>
  </si>
  <si>
    <t>GW-0408</t>
  </si>
  <si>
    <t>GW-0409</t>
  </si>
  <si>
    <t>GW-0410</t>
  </si>
  <si>
    <t>GW-0411</t>
  </si>
  <si>
    <t>GW-0412</t>
  </si>
  <si>
    <t>GW-0413</t>
  </si>
  <si>
    <t>GW-0414</t>
  </si>
  <si>
    <t>GW-0415</t>
  </si>
  <si>
    <t>GW-0416</t>
  </si>
  <si>
    <t>GW-0417</t>
  </si>
  <si>
    <t>GW-0418</t>
  </si>
  <si>
    <t>GW-0419</t>
  </si>
  <si>
    <t>GW-0420</t>
  </si>
  <si>
    <t>GW-0421</t>
  </si>
  <si>
    <t>GW-0422</t>
  </si>
  <si>
    <t>GW-0423</t>
  </si>
  <si>
    <t>GW-0501</t>
  </si>
  <si>
    <t>GW-0502</t>
  </si>
  <si>
    <t>GW-0503</t>
  </si>
  <si>
    <t>GW-0504</t>
  </si>
  <si>
    <t>GW-0505</t>
  </si>
  <si>
    <t>GW-0506</t>
  </si>
  <si>
    <t>GW-0507</t>
  </si>
  <si>
    <t>GW-0508</t>
  </si>
  <si>
    <t>GW-0509</t>
  </si>
  <si>
    <t>GW-0511</t>
  </si>
  <si>
    <t>GW-0512</t>
  </si>
  <si>
    <t>GW-0513</t>
  </si>
  <si>
    <t>GW-0514</t>
  </si>
  <si>
    <t>GW-0515</t>
  </si>
  <si>
    <t>GW-0516</t>
  </si>
  <si>
    <t>GW-0517</t>
  </si>
  <si>
    <t>GW-0518</t>
  </si>
  <si>
    <t>GW-0519</t>
  </si>
  <si>
    <t>GW-0520</t>
  </si>
  <si>
    <t>GW-0521</t>
  </si>
  <si>
    <t>GW-0522</t>
  </si>
  <si>
    <t>GW-0523</t>
  </si>
  <si>
    <t>GW-0601</t>
  </si>
  <si>
    <t>GW-0603</t>
  </si>
  <si>
    <t>GW-0604</t>
  </si>
  <si>
    <t>GW-0605</t>
  </si>
  <si>
    <t>GW-0606</t>
  </si>
  <si>
    <t>GW-0607</t>
  </si>
  <si>
    <t>GW-0608</t>
  </si>
  <si>
    <t>GW-0609</t>
  </si>
  <si>
    <t>GW-0610</t>
  </si>
  <si>
    <t>GW-0612</t>
  </si>
  <si>
    <t>GW-0613</t>
  </si>
  <si>
    <t>GW-0614</t>
  </si>
  <si>
    <t>GW-0615</t>
  </si>
  <si>
    <t>GW-0617</t>
  </si>
  <si>
    <t>GW-0618</t>
  </si>
  <si>
    <t>GW-0619</t>
  </si>
  <si>
    <t>GW-0620</t>
  </si>
  <si>
    <t>GW-0621</t>
  </si>
  <si>
    <t>GW-0622</t>
  </si>
  <si>
    <t>GW-0623</t>
  </si>
  <si>
    <t>GW-0702</t>
  </si>
  <si>
    <t>GW-0703</t>
  </si>
  <si>
    <t>GW-0704</t>
  </si>
  <si>
    <t>GW-0705</t>
  </si>
  <si>
    <t>GW-0706</t>
  </si>
  <si>
    <t>GW-0707</t>
  </si>
  <si>
    <t>GW-0708</t>
  </si>
  <si>
    <t>GW-0710</t>
  </si>
  <si>
    <t>GW-0711</t>
  </si>
  <si>
    <t>GW-0712</t>
  </si>
  <si>
    <t>GW-0713</t>
  </si>
  <si>
    <t>GW-0714</t>
  </si>
  <si>
    <t>GW-0715</t>
  </si>
  <si>
    <t>GW-0716</t>
  </si>
  <si>
    <t>GW-0717</t>
  </si>
  <si>
    <t>GW-0719</t>
  </si>
  <si>
    <t>GW-0720</t>
  </si>
  <si>
    <t>GW-0721</t>
  </si>
  <si>
    <t>GW-0722</t>
  </si>
  <si>
    <t>GW-0723</t>
  </si>
  <si>
    <t>GW-0802</t>
  </si>
  <si>
    <t>GW-0803</t>
  </si>
  <si>
    <t>GW-0804</t>
  </si>
  <si>
    <t>GW-0805</t>
  </si>
  <si>
    <t>GW-0806</t>
  </si>
  <si>
    <t>GW-0807</t>
  </si>
  <si>
    <t>GW-0808</t>
  </si>
  <si>
    <t>GW-0809</t>
  </si>
  <si>
    <t>GW-0810</t>
  </si>
  <si>
    <t>GW-0811</t>
  </si>
  <si>
    <t>GW-0812</t>
  </si>
  <si>
    <t>GW-0813</t>
  </si>
  <si>
    <t>GW-0814</t>
  </si>
  <si>
    <t>GW-0816</t>
  </si>
  <si>
    <t>GW-0817</t>
  </si>
  <si>
    <t>GW-0818</t>
  </si>
  <si>
    <t>GW-0819</t>
  </si>
  <si>
    <t>GW-0820</t>
  </si>
  <si>
    <t>GW-0821</t>
  </si>
  <si>
    <t>GW-0822</t>
  </si>
  <si>
    <t>GW-0823</t>
  </si>
  <si>
    <t>GW-0901</t>
  </si>
  <si>
    <t>GW-0902</t>
  </si>
  <si>
    <t>GW-0903</t>
  </si>
  <si>
    <t>GW-0904</t>
  </si>
  <si>
    <t>GW-0905</t>
  </si>
  <si>
    <t>GW-0906</t>
  </si>
  <si>
    <t>GW-0907</t>
  </si>
  <si>
    <t>GW-0908</t>
  </si>
  <si>
    <t>GW-0909</t>
  </si>
  <si>
    <t>GW-0910</t>
  </si>
  <si>
    <t>GW-0911</t>
  </si>
  <si>
    <t>GW-0912</t>
  </si>
  <si>
    <t>GW-0913</t>
  </si>
  <si>
    <t>GW-0914</t>
  </si>
  <si>
    <t>GW-0915</t>
  </si>
  <si>
    <t>GW-0916</t>
  </si>
  <si>
    <t>GW-0917</t>
  </si>
  <si>
    <t>GW-0918</t>
  </si>
  <si>
    <t>GW-0919</t>
  </si>
  <si>
    <t>GW-0920</t>
  </si>
  <si>
    <t>GW-0921</t>
  </si>
  <si>
    <t>GW-0922</t>
  </si>
  <si>
    <t>GW-0923</t>
  </si>
  <si>
    <t>GW-1001</t>
  </si>
  <si>
    <t>GW-1002</t>
  </si>
  <si>
    <t>GW-1003</t>
  </si>
  <si>
    <t>GW-1004</t>
  </si>
  <si>
    <t>GW-1005</t>
  </si>
  <si>
    <t>GW-1006</t>
  </si>
  <si>
    <t>GW-1007</t>
  </si>
  <si>
    <t>GW-1008</t>
  </si>
  <si>
    <t>GW-1009</t>
  </si>
  <si>
    <t>GW-1010</t>
  </si>
  <si>
    <t>GW-1011</t>
  </si>
  <si>
    <t>GW-1012</t>
  </si>
  <si>
    <t>GW-1013</t>
  </si>
  <si>
    <t>GW-1014</t>
  </si>
  <si>
    <t>GW-1015</t>
  </si>
  <si>
    <t>GW-1016</t>
  </si>
  <si>
    <t>GW-1017</t>
  </si>
  <si>
    <t>GW-1018</t>
  </si>
  <si>
    <t>GW-1019</t>
  </si>
  <si>
    <t>GW-1020</t>
  </si>
  <si>
    <t>GW-1021</t>
  </si>
  <si>
    <t>GW-1023</t>
  </si>
  <si>
    <t>SB-0101</t>
  </si>
  <si>
    <t>Salmonberry</t>
  </si>
  <si>
    <t>SB-0102</t>
  </si>
  <si>
    <t>SB-0103</t>
  </si>
  <si>
    <t>SB-0104</t>
  </si>
  <si>
    <t>SB-0106</t>
  </si>
  <si>
    <t>SB-0107</t>
  </si>
  <si>
    <t>SB-0108</t>
  </si>
  <si>
    <t>SB-0109</t>
  </si>
  <si>
    <t>SB-0110</t>
  </si>
  <si>
    <t>SB-0111</t>
  </si>
  <si>
    <t>SB-0112</t>
  </si>
  <si>
    <t>SB-0113</t>
  </si>
  <si>
    <t>SB-0114</t>
  </si>
  <si>
    <t>SB-0115</t>
  </si>
  <si>
    <t>SB-0116</t>
  </si>
  <si>
    <t>SB-0117</t>
  </si>
  <si>
    <t>SB-0118</t>
  </si>
  <si>
    <t>SB-0119</t>
  </si>
  <si>
    <t>SB-0120</t>
  </si>
  <si>
    <t>SB-0121</t>
  </si>
  <si>
    <t>SB-0122</t>
  </si>
  <si>
    <t>SB-0201</t>
  </si>
  <si>
    <t>SB-0202</t>
  </si>
  <si>
    <t>SB-0204</t>
  </si>
  <si>
    <t>SB-0205</t>
  </si>
  <si>
    <t>SB-0206</t>
  </si>
  <si>
    <t>SB-0207</t>
  </si>
  <si>
    <t>SB-0208</t>
  </si>
  <si>
    <t>SB-0209</t>
  </si>
  <si>
    <t>SB-0210</t>
  </si>
  <si>
    <t>SB-0211</t>
  </si>
  <si>
    <t>SB-0212</t>
  </si>
  <si>
    <t>SB-0213</t>
  </si>
  <si>
    <t>SB-0214</t>
  </si>
  <si>
    <t>SB-0215</t>
  </si>
  <si>
    <t>SB-0216</t>
  </si>
  <si>
    <t>SB-0217</t>
  </si>
  <si>
    <t>SB-0218</t>
  </si>
  <si>
    <t>SB-0219</t>
  </si>
  <si>
    <t>SB-0220</t>
  </si>
  <si>
    <t>SB-0222</t>
  </si>
  <si>
    <t>SB-0223</t>
  </si>
  <si>
    <t>SB-0224</t>
  </si>
  <si>
    <t>SB-0301</t>
  </si>
  <si>
    <t>SB-0302</t>
  </si>
  <si>
    <t>SB-0303</t>
  </si>
  <si>
    <t>SB-0304</t>
  </si>
  <si>
    <t>SB-0305</t>
  </si>
  <si>
    <t>SB-0306</t>
  </si>
  <si>
    <t>SB-0307</t>
  </si>
  <si>
    <t>SB-0308</t>
  </si>
  <si>
    <t>SB-0309</t>
  </si>
  <si>
    <t>SB-0311</t>
  </si>
  <si>
    <t>SB-0312</t>
  </si>
  <si>
    <t>SB-0313</t>
  </si>
  <si>
    <t>SB-0314</t>
  </si>
  <si>
    <t>SB-0315</t>
  </si>
  <si>
    <t>SB-0316</t>
  </si>
  <si>
    <t>SB-0317</t>
  </si>
  <si>
    <t>SB-0318</t>
  </si>
  <si>
    <t>SB-0319</t>
  </si>
  <si>
    <t>SB-0320</t>
  </si>
  <si>
    <t>SB-0321</t>
  </si>
  <si>
    <t>SB-0322</t>
  </si>
  <si>
    <t>SB-0323</t>
  </si>
  <si>
    <t>SB-0324</t>
  </si>
  <si>
    <t>SB-0401</t>
  </si>
  <si>
    <t>SB-0402</t>
  </si>
  <si>
    <t>SB-0403</t>
  </si>
  <si>
    <t>SB-0404</t>
  </si>
  <si>
    <t>SB-0405</t>
  </si>
  <si>
    <t>SB-0406</t>
  </si>
  <si>
    <t>SB-0407</t>
  </si>
  <si>
    <t>SB-0408</t>
  </si>
  <si>
    <t>SB-0409</t>
  </si>
  <si>
    <t>SB-0410</t>
  </si>
  <si>
    <t>SB-0411</t>
  </si>
  <si>
    <t>SB-0412</t>
  </si>
  <si>
    <t>SB-0413</t>
  </si>
  <si>
    <t>SB-0414</t>
  </si>
  <si>
    <t>SB-0415</t>
  </si>
  <si>
    <t>SB-0416</t>
  </si>
  <si>
    <t>SB-0418</t>
  </si>
  <si>
    <t>SB-0419</t>
  </si>
  <si>
    <t>SB-0420</t>
  </si>
  <si>
    <t>SB-0421</t>
  </si>
  <si>
    <t>SB-0422</t>
  </si>
  <si>
    <t>SB-0423</t>
  </si>
  <si>
    <t>SB-0424</t>
  </si>
  <si>
    <t>SB-0502</t>
  </si>
  <si>
    <t>SB-0503</t>
  </si>
  <si>
    <t>SB-0504</t>
  </si>
  <si>
    <t>SB-0505</t>
  </si>
  <si>
    <t>SB-0506</t>
  </si>
  <si>
    <t>SB-0507</t>
  </si>
  <si>
    <t>SB-0509</t>
  </si>
  <si>
    <t>SB-0510</t>
  </si>
  <si>
    <t>SB-0511</t>
  </si>
  <si>
    <t>SB-0512</t>
  </si>
  <si>
    <t>SB-0514</t>
  </si>
  <si>
    <t>SB-0515</t>
  </si>
  <si>
    <t>SB-0516</t>
  </si>
  <si>
    <t>SB-0518</t>
  </si>
  <si>
    <t>SB-0520</t>
  </si>
  <si>
    <t>SB-0521</t>
  </si>
  <si>
    <t>SB-0522</t>
  </si>
  <si>
    <t>SB-0523</t>
  </si>
  <si>
    <t>SB-0524</t>
  </si>
  <si>
    <t>SB-0601</t>
  </si>
  <si>
    <t>SB-0602</t>
  </si>
  <si>
    <t>SB-0603</t>
  </si>
  <si>
    <t>SB-0604</t>
  </si>
  <si>
    <t>SB-0605</t>
  </si>
  <si>
    <t>SB-0606</t>
  </si>
  <si>
    <t>SB-0607</t>
  </si>
  <si>
    <t>SB-0609</t>
  </si>
  <si>
    <t>SB-0610</t>
  </si>
  <si>
    <t>SB-0611</t>
  </si>
  <si>
    <t>SB-0612</t>
  </si>
  <si>
    <t>SB-0613</t>
  </si>
  <si>
    <t>SB-0614</t>
  </si>
  <si>
    <t>SB-0615</t>
  </si>
  <si>
    <t>SB-0616</t>
  </si>
  <si>
    <t>SB-0617</t>
  </si>
  <si>
    <t>SB-0619</t>
  </si>
  <si>
    <t>SB-0620</t>
  </si>
  <si>
    <t>SB-0621</t>
  </si>
  <si>
    <t>SB-0622</t>
  </si>
  <si>
    <t>SB-0623</t>
  </si>
  <si>
    <t>SB-0624</t>
  </si>
  <si>
    <t>SB-0701</t>
  </si>
  <si>
    <t>SB-0702</t>
  </si>
  <si>
    <t>SB-0703</t>
  </si>
  <si>
    <t>SB-0704</t>
  </si>
  <si>
    <t>SB-0705</t>
  </si>
  <si>
    <t>SB-0706</t>
  </si>
  <si>
    <t>SB-0707</t>
  </si>
  <si>
    <t>SB-0708</t>
  </si>
  <si>
    <t>SB-0709</t>
  </si>
  <si>
    <t>SB-0710</t>
  </si>
  <si>
    <t>SB-0711</t>
  </si>
  <si>
    <t>SB-0712</t>
  </si>
  <si>
    <t>SB-0713</t>
  </si>
  <si>
    <t>SB-0714</t>
  </si>
  <si>
    <t>SB-0715</t>
  </si>
  <si>
    <t>SB-0716</t>
  </si>
  <si>
    <t>SB-0717</t>
  </si>
  <si>
    <t>SB-0718</t>
  </si>
  <si>
    <t>SB-0719</t>
  </si>
  <si>
    <t>SB-0720</t>
  </si>
  <si>
    <t>SB-0721</t>
  </si>
  <si>
    <t>SB-0722</t>
  </si>
  <si>
    <t>SB-0723</t>
  </si>
  <si>
    <t>SB-0724</t>
  </si>
  <si>
    <t>SB-0801</t>
  </si>
  <si>
    <t>SB-0802</t>
  </si>
  <si>
    <t>SB-0803</t>
  </si>
  <si>
    <t>SB-0804</t>
  </si>
  <si>
    <t>SB-0805</t>
  </si>
  <si>
    <t>SB-0806</t>
  </si>
  <si>
    <t>SB-0808</t>
  </si>
  <si>
    <t>SB-0809</t>
  </si>
  <si>
    <t>SB-0810</t>
  </si>
  <si>
    <t>SB-0812</t>
  </si>
  <si>
    <t>SB-0813</t>
  </si>
  <si>
    <t>SB-0814</t>
  </si>
  <si>
    <t>SB-0815</t>
  </si>
  <si>
    <t>SB-0816</t>
  </si>
  <si>
    <t>SB-0818</t>
  </si>
  <si>
    <t>SB-0819</t>
  </si>
  <si>
    <t>SB-0820</t>
  </si>
  <si>
    <t>SB-0821</t>
  </si>
  <si>
    <t>SB-0822</t>
  </si>
  <si>
    <t>SB-0824</t>
  </si>
  <si>
    <t>SB-0901</t>
  </si>
  <si>
    <t>SB-0903</t>
  </si>
  <si>
    <t>SB-0904</t>
  </si>
  <si>
    <t>SB-0905</t>
  </si>
  <si>
    <t>SB-0906</t>
  </si>
  <si>
    <t>SB-0908</t>
  </si>
  <si>
    <t>SB-0909</t>
  </si>
  <si>
    <t>SB-0910</t>
  </si>
  <si>
    <t>SB-0911</t>
  </si>
  <si>
    <t>SB-0912</t>
  </si>
  <si>
    <t>SB-0913</t>
  </si>
  <si>
    <t>SB-0914</t>
  </si>
  <si>
    <t>SB-0915</t>
  </si>
  <si>
    <t>SB-0916</t>
  </si>
  <si>
    <t>SB-0917</t>
  </si>
  <si>
    <t>SB-0918</t>
  </si>
  <si>
    <t>Account ID</t>
  </si>
  <si>
    <t>Tenant</t>
  </si>
  <si>
    <t>91-120 Days</t>
  </si>
  <si>
    <t>120+ Days</t>
  </si>
  <si>
    <t>Delinquent Balance</t>
  </si>
  <si>
    <t>AC-LP-0122</t>
  </si>
  <si>
    <t>Paula Arroyo</t>
  </si>
  <si>
    <t>AC-LP-0402</t>
  </si>
  <si>
    <t>Dawn Brown</t>
  </si>
  <si>
    <t>AC-LP-0602</t>
  </si>
  <si>
    <t>Lee Maldonado</t>
  </si>
  <si>
    <t>AC-LP-0605</t>
  </si>
  <si>
    <t>Andrew Anderson</t>
  </si>
  <si>
    <t>AC-LP-0713</t>
  </si>
  <si>
    <t>Stacey Mitchell</t>
  </si>
  <si>
    <t>AC-LP-0801</t>
  </si>
  <si>
    <t>Allison Nguyen</t>
  </si>
  <si>
    <t>Audit Summary</t>
  </si>
  <si>
    <t>Total Priority 1 Exceptions</t>
  </si>
  <si>
    <t>Total Priority 2 Exceptions</t>
  </si>
  <si>
    <t>Total Priority 3 Exceptions (Arithmetic Errors)</t>
  </si>
  <si>
    <t>Total Delinquent Balance</t>
  </si>
  <si>
    <t>Total Billing Variance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</si>
</sst>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0"/>
  <sheetViews>
    <sheetView tabSelected="1" workbookViewId="0"/>
  </sheetViews>
  <sheetFormatPr defaultRowHeight="15"/>
  <cols>
    <col min="1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f>IF(D2="No", "Priority 1", IF(C2&gt;B2, "Priority 2", "None"))</f>
        <v>0</v>
      </c>
    </row>
    <row r="3" spans="1:5">
      <c r="A3" t="s">
        <v>9</v>
      </c>
      <c r="B3" t="s">
        <v>6</v>
      </c>
      <c r="C3" t="s">
        <v>10</v>
      </c>
      <c r="D3" t="s">
        <v>8</v>
      </c>
      <c r="E3">
        <f>IF(D3="No", "Priority 1", IF(C3&gt;B3, "Priority 2", "None"))</f>
        <v>0</v>
      </c>
    </row>
    <row r="4" spans="1:5">
      <c r="A4" t="s">
        <v>11</v>
      </c>
      <c r="B4" t="s">
        <v>12</v>
      </c>
      <c r="C4" t="s">
        <v>13</v>
      </c>
      <c r="D4" t="s">
        <v>8</v>
      </c>
      <c r="E4">
        <f>IF(D4="No", "Priority 1", IF(C4&gt;B4, "Priority 2", "None"))</f>
        <v>0</v>
      </c>
    </row>
    <row r="5" spans="1:5">
      <c r="A5" t="s">
        <v>14</v>
      </c>
      <c r="B5" t="s">
        <v>6</v>
      </c>
      <c r="C5" t="s">
        <v>10</v>
      </c>
      <c r="D5" t="s">
        <v>8</v>
      </c>
      <c r="E5">
        <f>IF(D5="No", "Priority 1", IF(C5&gt;B5, "Priority 2", "None"))</f>
        <v>0</v>
      </c>
    </row>
    <row r="6" spans="1:5">
      <c r="A6" t="s">
        <v>15</v>
      </c>
      <c r="B6" t="s">
        <v>7</v>
      </c>
      <c r="C6" t="s">
        <v>16</v>
      </c>
      <c r="D6" t="s">
        <v>8</v>
      </c>
      <c r="E6">
        <f>IF(D6="No", "Priority 1", IF(C6&gt;B6, "Priority 2", "None"))</f>
        <v>0</v>
      </c>
    </row>
    <row r="7" spans="1:5">
      <c r="A7" t="s">
        <v>17</v>
      </c>
      <c r="B7" t="s">
        <v>18</v>
      </c>
      <c r="C7" t="s">
        <v>19</v>
      </c>
      <c r="D7" t="s">
        <v>8</v>
      </c>
      <c r="E7">
        <f>IF(D7="No", "Priority 1", IF(C7&gt;B7, "Priority 2", "None"))</f>
        <v>0</v>
      </c>
    </row>
    <row r="8" spans="1:5">
      <c r="A8" t="s">
        <v>20</v>
      </c>
      <c r="B8" t="s">
        <v>21</v>
      </c>
      <c r="C8" t="s">
        <v>21</v>
      </c>
      <c r="D8" t="s">
        <v>8</v>
      </c>
      <c r="E8">
        <f>IF(D8="No", "Priority 1", IF(C8&gt;B8, "Priority 2", "None"))</f>
        <v>0</v>
      </c>
    </row>
    <row r="9" spans="1:5">
      <c r="A9" t="s">
        <v>22</v>
      </c>
      <c r="B9" t="s">
        <v>23</v>
      </c>
      <c r="C9" t="s">
        <v>24</v>
      </c>
      <c r="D9" t="s">
        <v>8</v>
      </c>
      <c r="E9">
        <f>IF(D9="No", "Priority 1", IF(C9&gt;B9, "Priority 2", "None"))</f>
        <v>0</v>
      </c>
    </row>
    <row r="10" spans="1:5">
      <c r="A10" t="s">
        <v>25</v>
      </c>
      <c r="B10" t="s">
        <v>26</v>
      </c>
      <c r="C10" t="s">
        <v>27</v>
      </c>
      <c r="D10" t="s">
        <v>8</v>
      </c>
      <c r="E10">
        <f>IF(D10="No", "Priority 1", IF(C10&gt;B10, "Priority 2", "None"))</f>
        <v>0</v>
      </c>
    </row>
    <row r="11" spans="1:5">
      <c r="A11" t="s">
        <v>28</v>
      </c>
      <c r="B11" t="s">
        <v>29</v>
      </c>
      <c r="C11" t="s">
        <v>30</v>
      </c>
      <c r="D11" t="s">
        <v>8</v>
      </c>
      <c r="E11">
        <f>IF(D11="No", "Priority 1", IF(C11&gt;B11, "Priority 2", "None"))</f>
        <v>0</v>
      </c>
    </row>
    <row r="12" spans="1:5">
      <c r="A12" t="s">
        <v>31</v>
      </c>
      <c r="B12" t="s">
        <v>32</v>
      </c>
      <c r="C12" t="s">
        <v>33</v>
      </c>
      <c r="D12" t="s">
        <v>8</v>
      </c>
      <c r="E12">
        <f>IF(D12="No", "Priority 1", IF(C12&gt;B12, "Priority 2", "None"))</f>
        <v>0</v>
      </c>
    </row>
    <row r="13" spans="1:5">
      <c r="A13" t="s">
        <v>34</v>
      </c>
      <c r="B13" t="s">
        <v>35</v>
      </c>
      <c r="C13" t="s">
        <v>36</v>
      </c>
      <c r="D13" t="s">
        <v>8</v>
      </c>
      <c r="E13">
        <f>IF(D13="No", "Priority 1", IF(C13&gt;B13, "Priority 2", "None"))</f>
        <v>0</v>
      </c>
    </row>
    <row r="14" spans="1:5">
      <c r="A14" t="s">
        <v>37</v>
      </c>
      <c r="B14" t="s">
        <v>33</v>
      </c>
      <c r="C14" t="s">
        <v>38</v>
      </c>
      <c r="D14" t="s">
        <v>8</v>
      </c>
      <c r="E14">
        <f>IF(D14="No", "Priority 1", IF(C14&gt;B14, "Priority 2", "None"))</f>
        <v>0</v>
      </c>
    </row>
    <row r="15" spans="1:5">
      <c r="A15" t="s">
        <v>39</v>
      </c>
      <c r="B15" t="s">
        <v>40</v>
      </c>
      <c r="C15" t="s">
        <v>41</v>
      </c>
      <c r="D15" t="s">
        <v>8</v>
      </c>
      <c r="E15">
        <f>IF(D15="No", "Priority 1", IF(C15&gt;B15, "Priority 2", "None"))</f>
        <v>0</v>
      </c>
    </row>
    <row r="16" spans="1:5">
      <c r="A16" t="s">
        <v>42</v>
      </c>
      <c r="B16" t="s">
        <v>43</v>
      </c>
      <c r="C16" t="s">
        <v>44</v>
      </c>
      <c r="D16" t="s">
        <v>8</v>
      </c>
      <c r="E16">
        <f>IF(D16="No", "Priority 1", IF(C16&gt;B16, "Priority 2", "None"))</f>
        <v>0</v>
      </c>
    </row>
    <row r="17" spans="1:5">
      <c r="A17" t="s">
        <v>45</v>
      </c>
      <c r="B17" t="s">
        <v>46</v>
      </c>
      <c r="C17" t="s">
        <v>47</v>
      </c>
      <c r="D17" t="s">
        <v>8</v>
      </c>
      <c r="E17">
        <f>IF(D17="No", "Priority 1", IF(C17&gt;B17, "Priority 2", "None"))</f>
        <v>0</v>
      </c>
    </row>
    <row r="18" spans="1:5">
      <c r="A18" t="s">
        <v>48</v>
      </c>
      <c r="B18" t="s">
        <v>46</v>
      </c>
      <c r="C18" t="s">
        <v>49</v>
      </c>
      <c r="D18" t="s">
        <v>8</v>
      </c>
      <c r="E18">
        <f>IF(D18="No", "Priority 1", IF(C18&gt;B18, "Priority 2", "None"))</f>
        <v>0</v>
      </c>
    </row>
    <row r="19" spans="1:5">
      <c r="A19" t="s">
        <v>50</v>
      </c>
      <c r="B19" t="s">
        <v>51</v>
      </c>
      <c r="C19" t="s">
        <v>52</v>
      </c>
      <c r="D19" t="s">
        <v>8</v>
      </c>
      <c r="E19">
        <f>IF(D19="No", "Priority 1", IF(C19&gt;B19, "Priority 2", "None"))</f>
        <v>0</v>
      </c>
    </row>
    <row r="20" spans="1:5">
      <c r="A20" t="s">
        <v>53</v>
      </c>
      <c r="B20" t="s">
        <v>54</v>
      </c>
      <c r="C20" t="s">
        <v>55</v>
      </c>
      <c r="D20" t="s">
        <v>8</v>
      </c>
      <c r="E20">
        <f>IF(D20="No", "Priority 1", IF(C20&gt;B20, "Priority 2", "None"))</f>
        <v>0</v>
      </c>
    </row>
    <row r="21" spans="1:5">
      <c r="A21" t="s">
        <v>56</v>
      </c>
      <c r="B21" t="s">
        <v>57</v>
      </c>
      <c r="C21" t="s">
        <v>58</v>
      </c>
      <c r="D21" t="s">
        <v>8</v>
      </c>
      <c r="E21">
        <f>IF(D21="No", "Priority 1", IF(C21&gt;B21, "Priority 2", "None"))</f>
        <v>0</v>
      </c>
    </row>
    <row r="22" spans="1:5">
      <c r="A22" t="s">
        <v>59</v>
      </c>
      <c r="B22" t="s">
        <v>60</v>
      </c>
      <c r="C22" t="s">
        <v>61</v>
      </c>
      <c r="D22" t="s">
        <v>8</v>
      </c>
      <c r="E22">
        <f>IF(D22="No", "Priority 1", IF(C22&gt;B22, "Priority 2", "None"))</f>
        <v>0</v>
      </c>
    </row>
    <row r="23" spans="1:5">
      <c r="A23" t="s">
        <v>62</v>
      </c>
      <c r="B23" t="s">
        <v>63</v>
      </c>
      <c r="C23" t="s">
        <v>64</v>
      </c>
      <c r="D23" t="s">
        <v>8</v>
      </c>
      <c r="E23">
        <f>IF(D23="No", "Priority 1", IF(C23&gt;B23, "Priority 2", "None"))</f>
        <v>0</v>
      </c>
    </row>
    <row r="24" spans="1:5">
      <c r="A24" t="s">
        <v>65</v>
      </c>
      <c r="B24" t="s">
        <v>66</v>
      </c>
      <c r="C24" t="s">
        <v>51</v>
      </c>
      <c r="D24" t="s">
        <v>8</v>
      </c>
      <c r="E24">
        <f>IF(D24="No", "Priority 1", IF(C24&gt;B24, "Priority 2", "None"))</f>
        <v>0</v>
      </c>
    </row>
    <row r="25" spans="1:5">
      <c r="A25" t="s">
        <v>67</v>
      </c>
      <c r="B25" t="s">
        <v>68</v>
      </c>
      <c r="C25" t="s">
        <v>69</v>
      </c>
      <c r="D25" t="s">
        <v>8</v>
      </c>
      <c r="E25">
        <f>IF(D25="No", "Priority 1", IF(C25&gt;B25, "Priority 2", "None"))</f>
        <v>0</v>
      </c>
    </row>
    <row r="26" spans="1:5">
      <c r="A26" t="s">
        <v>70</v>
      </c>
      <c r="B26" t="s">
        <v>71</v>
      </c>
      <c r="C26" t="s">
        <v>72</v>
      </c>
      <c r="D26" t="s">
        <v>8</v>
      </c>
      <c r="E26">
        <f>IF(D26="No", "Priority 1", IF(C26&gt;B26, "Priority 2", "None"))</f>
        <v>0</v>
      </c>
    </row>
    <row r="27" spans="1:5">
      <c r="A27" t="s">
        <v>73</v>
      </c>
      <c r="B27" t="s">
        <v>74</v>
      </c>
      <c r="C27" t="s">
        <v>71</v>
      </c>
      <c r="D27" t="s">
        <v>8</v>
      </c>
      <c r="E27">
        <f>IF(D27="No", "Priority 1", IF(C27&gt;B27, "Priority 2", "None"))</f>
        <v>0</v>
      </c>
    </row>
    <row r="28" spans="1:5">
      <c r="A28" t="s">
        <v>75</v>
      </c>
      <c r="B28" t="s">
        <v>76</v>
      </c>
      <c r="C28" t="s">
        <v>77</v>
      </c>
      <c r="D28" t="s">
        <v>8</v>
      </c>
      <c r="E28">
        <f>IF(D28="No", "Priority 1", IF(C28&gt;B28, "Priority 2", "None"))</f>
        <v>0</v>
      </c>
    </row>
    <row r="29" spans="1:5">
      <c r="A29" t="s">
        <v>78</v>
      </c>
      <c r="B29" t="s">
        <v>79</v>
      </c>
      <c r="C29" t="s">
        <v>80</v>
      </c>
      <c r="D29" t="s">
        <v>8</v>
      </c>
      <c r="E29">
        <f>IF(D29="No", "Priority 1", IF(C29&gt;B29, "Priority 2", "None"))</f>
        <v>0</v>
      </c>
    </row>
    <row r="30" spans="1:5">
      <c r="A30" t="s">
        <v>81</v>
      </c>
      <c r="B30" t="s">
        <v>82</v>
      </c>
      <c r="C30" t="s">
        <v>80</v>
      </c>
      <c r="D30" t="s">
        <v>8</v>
      </c>
      <c r="E30">
        <f>IF(D30="No", "Priority 1", IF(C30&gt;B30, "Priority 2", "None"))</f>
        <v>0</v>
      </c>
    </row>
    <row r="31" spans="1:5">
      <c r="A31" t="s">
        <v>83</v>
      </c>
      <c r="B31" t="s">
        <v>84</v>
      </c>
      <c r="C31" t="s">
        <v>85</v>
      </c>
      <c r="D31" t="s">
        <v>8</v>
      </c>
      <c r="E31">
        <f>IF(D31="No", "Priority 1", IF(C31&gt;B31, "Priority 2", "None"))</f>
        <v>0</v>
      </c>
    </row>
    <row r="32" spans="1:5">
      <c r="A32" t="s">
        <v>86</v>
      </c>
      <c r="B32" t="s">
        <v>82</v>
      </c>
      <c r="C32" t="s">
        <v>87</v>
      </c>
      <c r="D32" t="s">
        <v>8</v>
      </c>
      <c r="E32">
        <f>IF(D32="No", "Priority 1", IF(C32&gt;B32, "Priority 2", "None"))</f>
        <v>0</v>
      </c>
    </row>
    <row r="33" spans="1:5">
      <c r="A33" t="s">
        <v>88</v>
      </c>
      <c r="B33" t="s">
        <v>89</v>
      </c>
      <c r="C33" t="s">
        <v>76</v>
      </c>
      <c r="D33" t="s">
        <v>8</v>
      </c>
      <c r="E33">
        <f>IF(D33="No", "Priority 1", IF(C33&gt;B33, "Priority 2", "None"))</f>
        <v>0</v>
      </c>
    </row>
    <row r="34" spans="1:5">
      <c r="A34" t="s">
        <v>90</v>
      </c>
      <c r="B34" t="s">
        <v>82</v>
      </c>
      <c r="C34" t="s">
        <v>85</v>
      </c>
      <c r="D34" t="s">
        <v>8</v>
      </c>
      <c r="E34">
        <f>IF(D34="No", "Priority 1", IF(C34&gt;B34, "Priority 2", "None"))</f>
        <v>0</v>
      </c>
    </row>
    <row r="35" spans="1:5">
      <c r="A35" t="s">
        <v>91</v>
      </c>
      <c r="B35" t="s">
        <v>92</v>
      </c>
      <c r="C35" t="s">
        <v>93</v>
      </c>
      <c r="D35" t="s">
        <v>8</v>
      </c>
      <c r="E35">
        <f>IF(D35="No", "Priority 1", IF(C35&gt;B35, "Priority 2", "None"))</f>
        <v>0</v>
      </c>
    </row>
    <row r="36" spans="1:5">
      <c r="A36" t="s">
        <v>94</v>
      </c>
      <c r="B36" t="s">
        <v>74</v>
      </c>
      <c r="C36" t="s">
        <v>74</v>
      </c>
      <c r="D36" t="s">
        <v>8</v>
      </c>
      <c r="E36">
        <f>IF(D36="No", "Priority 1", IF(C36&gt;B36, "Priority 2", "None"))</f>
        <v>0</v>
      </c>
    </row>
    <row r="37" spans="1:5">
      <c r="A37" t="s">
        <v>95</v>
      </c>
      <c r="B37" t="s">
        <v>96</v>
      </c>
      <c r="C37" t="s">
        <v>97</v>
      </c>
      <c r="D37" t="s">
        <v>8</v>
      </c>
      <c r="E37">
        <f>IF(D37="No", "Priority 1", IF(C37&gt;B37, "Priority 2", "None"))</f>
        <v>0</v>
      </c>
    </row>
    <row r="38" spans="1:5">
      <c r="A38" t="s">
        <v>98</v>
      </c>
      <c r="B38" t="s">
        <v>99</v>
      </c>
      <c r="C38" t="s">
        <v>100</v>
      </c>
      <c r="D38" t="s">
        <v>8</v>
      </c>
      <c r="E38">
        <f>IF(D38="No", "Priority 1", IF(C38&gt;B38, "Priority 2", "None"))</f>
        <v>0</v>
      </c>
    </row>
    <row r="39" spans="1:5">
      <c r="A39" t="s">
        <v>101</v>
      </c>
      <c r="B39" t="s">
        <v>102</v>
      </c>
      <c r="C39" t="s">
        <v>102</v>
      </c>
      <c r="D39" t="s">
        <v>8</v>
      </c>
      <c r="E39">
        <f>IF(D39="No", "Priority 1", IF(C39&gt;B39, "Priority 2", "None"))</f>
        <v>0</v>
      </c>
    </row>
    <row r="40" spans="1:5">
      <c r="A40" t="s">
        <v>103</v>
      </c>
      <c r="B40" t="s">
        <v>104</v>
      </c>
      <c r="C40" t="s">
        <v>105</v>
      </c>
      <c r="D40" t="s">
        <v>8</v>
      </c>
      <c r="E40">
        <f>IF(D40="No", "Priority 1", IF(C40&gt;B40, "Priority 2", "None"))</f>
        <v>0</v>
      </c>
    </row>
    <row r="41" spans="1:5">
      <c r="A41" t="s">
        <v>106</v>
      </c>
      <c r="B41" t="s">
        <v>107</v>
      </c>
      <c r="C41" t="s">
        <v>107</v>
      </c>
      <c r="D41" t="s">
        <v>8</v>
      </c>
      <c r="E41">
        <f>IF(D41="No", "Priority 1", IF(C41&gt;B41, "Priority 2", "None"))</f>
        <v>0</v>
      </c>
    </row>
    <row r="42" spans="1:5">
      <c r="A42" t="s">
        <v>108</v>
      </c>
      <c r="B42" t="s">
        <v>109</v>
      </c>
      <c r="C42" t="s">
        <v>110</v>
      </c>
      <c r="D42" t="s">
        <v>8</v>
      </c>
      <c r="E42">
        <f>IF(D42="No", "Priority 1", IF(C42&gt;B42, "Priority 2", "None"))</f>
        <v>0</v>
      </c>
    </row>
    <row r="43" spans="1:5">
      <c r="A43" t="s">
        <v>111</v>
      </c>
      <c r="B43" t="s">
        <v>102</v>
      </c>
      <c r="C43" t="s">
        <v>104</v>
      </c>
      <c r="D43" t="s">
        <v>8</v>
      </c>
      <c r="E43">
        <f>IF(D43="No", "Priority 1", IF(C43&gt;B43, "Priority 2", "None"))</f>
        <v>0</v>
      </c>
    </row>
    <row r="44" spans="1:5">
      <c r="A44" t="s">
        <v>112</v>
      </c>
      <c r="B44" t="s">
        <v>113</v>
      </c>
      <c r="C44" t="s">
        <v>102</v>
      </c>
      <c r="D44" t="s">
        <v>8</v>
      </c>
      <c r="E44">
        <f>IF(D44="No", "Priority 1", IF(C44&gt;B44, "Priority 2", "None"))</f>
        <v>0</v>
      </c>
    </row>
    <row r="45" spans="1:5">
      <c r="A45" t="s">
        <v>114</v>
      </c>
      <c r="B45" t="s">
        <v>115</v>
      </c>
      <c r="C45" t="s">
        <v>97</v>
      </c>
      <c r="D45" t="s">
        <v>8</v>
      </c>
      <c r="E45">
        <f>IF(D45="No", "Priority 1", IF(C45&gt;B45, "Priority 2", "None"))</f>
        <v>0</v>
      </c>
    </row>
    <row r="46" spans="1:5">
      <c r="A46" t="s">
        <v>116</v>
      </c>
      <c r="B46" t="s">
        <v>117</v>
      </c>
      <c r="C46" t="s">
        <v>118</v>
      </c>
      <c r="D46" t="s">
        <v>8</v>
      </c>
      <c r="E46">
        <f>IF(D46="No", "Priority 1", IF(C46&gt;B46, "Priority 2", "None"))</f>
        <v>0</v>
      </c>
    </row>
    <row r="47" spans="1:5">
      <c r="A47" t="s">
        <v>119</v>
      </c>
      <c r="B47" t="s">
        <v>96</v>
      </c>
      <c r="C47" t="s">
        <v>96</v>
      </c>
      <c r="D47" t="s">
        <v>8</v>
      </c>
      <c r="E47">
        <f>IF(D47="No", "Priority 1", IF(C47&gt;B47, "Priority 2", "None"))</f>
        <v>0</v>
      </c>
    </row>
    <row r="48" spans="1:5">
      <c r="A48" t="s">
        <v>120</v>
      </c>
      <c r="B48" t="s">
        <v>121</v>
      </c>
      <c r="C48" t="s">
        <v>122</v>
      </c>
      <c r="D48" t="s">
        <v>8</v>
      </c>
      <c r="E48">
        <f>IF(D48="No", "Priority 1", IF(C48&gt;B48, "Priority 2", "None"))</f>
        <v>0</v>
      </c>
    </row>
    <row r="49" spans="1:5">
      <c r="A49" t="s">
        <v>123</v>
      </c>
      <c r="B49" t="s">
        <v>124</v>
      </c>
      <c r="C49" t="s">
        <v>125</v>
      </c>
      <c r="D49" t="s">
        <v>8</v>
      </c>
      <c r="E49">
        <f>IF(D49="No", "Priority 1", IF(C49&gt;B49, "Priority 2", "None"))</f>
        <v>0</v>
      </c>
    </row>
    <row r="50" spans="1:5">
      <c r="A50" t="s">
        <v>126</v>
      </c>
      <c r="B50" t="s">
        <v>127</v>
      </c>
      <c r="C50" t="s">
        <v>121</v>
      </c>
      <c r="D50" t="s">
        <v>8</v>
      </c>
      <c r="E50">
        <f>IF(D50="No", "Priority 1", IF(C50&gt;B50, "Priority 2", "None"))</f>
        <v>0</v>
      </c>
    </row>
    <row r="51" spans="1:5">
      <c r="A51" t="s">
        <v>128</v>
      </c>
      <c r="B51" t="s">
        <v>129</v>
      </c>
      <c r="C51" t="s">
        <v>122</v>
      </c>
      <c r="D51" t="s">
        <v>8</v>
      </c>
      <c r="E51">
        <f>IF(D51="No", "Priority 1", IF(C51&gt;B51, "Priority 2", "None"))</f>
        <v>0</v>
      </c>
    </row>
    <row r="52" spans="1:5">
      <c r="A52" t="s">
        <v>130</v>
      </c>
      <c r="B52" t="s">
        <v>122</v>
      </c>
      <c r="C52" t="s">
        <v>122</v>
      </c>
      <c r="D52" t="s">
        <v>8</v>
      </c>
      <c r="E52">
        <f>IF(D52="No", "Priority 1", IF(C52&gt;B52, "Priority 2", "None"))</f>
        <v>0</v>
      </c>
    </row>
    <row r="53" spans="1:5">
      <c r="A53" t="s">
        <v>131</v>
      </c>
      <c r="B53" t="s">
        <v>132</v>
      </c>
      <c r="C53" t="s">
        <v>133</v>
      </c>
      <c r="D53" t="s">
        <v>8</v>
      </c>
      <c r="E53">
        <f>IF(D53="No", "Priority 1", IF(C53&gt;B53, "Priority 2", "None"))</f>
        <v>0</v>
      </c>
    </row>
    <row r="54" spans="1:5">
      <c r="A54" t="s">
        <v>134</v>
      </c>
      <c r="B54" t="s">
        <v>135</v>
      </c>
      <c r="C54" t="s">
        <v>136</v>
      </c>
      <c r="D54" t="s">
        <v>8</v>
      </c>
      <c r="E54">
        <f>IF(D54="No", "Priority 1", IF(C54&gt;B54, "Priority 2", "None"))</f>
        <v>0</v>
      </c>
    </row>
    <row r="55" spans="1:5">
      <c r="A55" t="s">
        <v>137</v>
      </c>
      <c r="B55" t="s">
        <v>138</v>
      </c>
      <c r="C55" t="s">
        <v>139</v>
      </c>
      <c r="D55" t="s">
        <v>8</v>
      </c>
      <c r="E55">
        <f>IF(D55="No", "Priority 1", IF(C55&gt;B55, "Priority 2", "None"))</f>
        <v>0</v>
      </c>
    </row>
    <row r="56" spans="1:5">
      <c r="A56" t="s">
        <v>140</v>
      </c>
      <c r="B56" t="s">
        <v>135</v>
      </c>
      <c r="C56" t="s">
        <v>136</v>
      </c>
      <c r="D56" t="s">
        <v>8</v>
      </c>
      <c r="E56">
        <f>IF(D56="No", "Priority 1", IF(C56&gt;B56, "Priority 2", "None"))</f>
        <v>0</v>
      </c>
    </row>
    <row r="57" spans="1:5">
      <c r="A57" t="s">
        <v>141</v>
      </c>
      <c r="B57" t="s">
        <v>127</v>
      </c>
      <c r="C57" t="s">
        <v>142</v>
      </c>
      <c r="D57" t="s">
        <v>8</v>
      </c>
      <c r="E57">
        <f>IF(D57="No", "Priority 1", IF(C57&gt;B57, "Priority 2", "None"))</f>
        <v>0</v>
      </c>
    </row>
    <row r="58" spans="1:5">
      <c r="A58" t="s">
        <v>143</v>
      </c>
      <c r="B58" t="s">
        <v>144</v>
      </c>
      <c r="C58" t="s">
        <v>145</v>
      </c>
      <c r="D58" t="s">
        <v>8</v>
      </c>
      <c r="E58">
        <f>IF(D58="No", "Priority 1", IF(C58&gt;B58, "Priority 2", "None"))</f>
        <v>0</v>
      </c>
    </row>
    <row r="59" spans="1:5">
      <c r="A59" t="s">
        <v>146</v>
      </c>
      <c r="B59" t="s">
        <v>125</v>
      </c>
      <c r="C59" t="s">
        <v>125</v>
      </c>
      <c r="D59" t="s">
        <v>8</v>
      </c>
      <c r="E59">
        <f>IF(D59="No", "Priority 1", IF(C59&gt;B59, "Priority 2", "None"))</f>
        <v>0</v>
      </c>
    </row>
    <row r="60" spans="1:5">
      <c r="A60" t="s">
        <v>147</v>
      </c>
      <c r="B60" t="s">
        <v>148</v>
      </c>
      <c r="C60" t="s">
        <v>149</v>
      </c>
      <c r="D60" t="s">
        <v>8</v>
      </c>
      <c r="E60">
        <f>IF(D60="No", "Priority 1", IF(C60&gt;B60, "Priority 2", "None"))</f>
        <v>0</v>
      </c>
    </row>
    <row r="61" spans="1:5">
      <c r="A61" t="s">
        <v>150</v>
      </c>
      <c r="B61" t="s">
        <v>151</v>
      </c>
      <c r="C61" t="s">
        <v>152</v>
      </c>
      <c r="D61" t="s">
        <v>8</v>
      </c>
      <c r="E61">
        <f>IF(D61="No", "Priority 1", IF(C61&gt;B61, "Priority 2", "None"))</f>
        <v>0</v>
      </c>
    </row>
    <row r="62" spans="1:5">
      <c r="A62" t="s">
        <v>153</v>
      </c>
      <c r="B62" t="s">
        <v>154</v>
      </c>
      <c r="C62" t="s">
        <v>155</v>
      </c>
      <c r="D62" t="s">
        <v>8</v>
      </c>
      <c r="E62">
        <f>IF(D62="No", "Priority 1", IF(C62&gt;B62, "Priority 2", "None"))</f>
        <v>0</v>
      </c>
    </row>
    <row r="63" spans="1:5">
      <c r="A63" t="s">
        <v>156</v>
      </c>
      <c r="B63" t="s">
        <v>157</v>
      </c>
      <c r="C63" t="s">
        <v>157</v>
      </c>
      <c r="D63" t="s">
        <v>8</v>
      </c>
      <c r="E63">
        <f>IF(D63="No", "Priority 1", IF(C63&gt;B63, "Priority 2", "None"))</f>
        <v>0</v>
      </c>
    </row>
    <row r="64" spans="1:5">
      <c r="A64" t="s">
        <v>158</v>
      </c>
      <c r="B64" t="s">
        <v>159</v>
      </c>
      <c r="C64" t="s">
        <v>160</v>
      </c>
      <c r="D64" t="s">
        <v>8</v>
      </c>
      <c r="E64">
        <f>IF(D64="No", "Priority 1", IF(C64&gt;B64, "Priority 2", "None"))</f>
        <v>0</v>
      </c>
    </row>
    <row r="65" spans="1:5">
      <c r="A65" t="s">
        <v>161</v>
      </c>
      <c r="B65" t="s">
        <v>159</v>
      </c>
      <c r="C65" t="s">
        <v>162</v>
      </c>
      <c r="D65" t="s">
        <v>8</v>
      </c>
      <c r="E65">
        <f>IF(D65="No", "Priority 1", IF(C65&gt;B65, "Priority 2", "None"))</f>
        <v>0</v>
      </c>
    </row>
    <row r="66" spans="1:5">
      <c r="A66" t="s">
        <v>163</v>
      </c>
      <c r="B66" t="s">
        <v>164</v>
      </c>
      <c r="C66" t="s">
        <v>149</v>
      </c>
      <c r="D66" t="s">
        <v>8</v>
      </c>
      <c r="E66">
        <f>IF(D66="No", "Priority 1", IF(C66&gt;B66, "Priority 2", "None"))</f>
        <v>0</v>
      </c>
    </row>
    <row r="67" spans="1:5">
      <c r="A67" t="s">
        <v>165</v>
      </c>
      <c r="B67" t="s">
        <v>166</v>
      </c>
      <c r="C67" t="s">
        <v>167</v>
      </c>
      <c r="D67" t="s">
        <v>8</v>
      </c>
      <c r="E67">
        <f>IF(D67="No", "Priority 1", IF(C67&gt;B67, "Priority 2", "None"))</f>
        <v>0</v>
      </c>
    </row>
    <row r="68" spans="1:5">
      <c r="A68" t="s">
        <v>168</v>
      </c>
      <c r="B68" t="s">
        <v>169</v>
      </c>
      <c r="C68" t="s">
        <v>170</v>
      </c>
      <c r="D68" t="s">
        <v>8</v>
      </c>
      <c r="E68">
        <f>IF(D68="No", "Priority 1", IF(C68&gt;B68, "Priority 2", "None"))</f>
        <v>0</v>
      </c>
    </row>
    <row r="69" spans="1:5">
      <c r="A69" t="s">
        <v>171</v>
      </c>
      <c r="B69" t="s">
        <v>172</v>
      </c>
      <c r="C69" t="s">
        <v>173</v>
      </c>
      <c r="D69" t="s">
        <v>8</v>
      </c>
      <c r="E69">
        <f>IF(D69="No", "Priority 1", IF(C69&gt;B69, "Priority 2", "None"))</f>
        <v>0</v>
      </c>
    </row>
    <row r="70" spans="1:5">
      <c r="A70" t="s">
        <v>174</v>
      </c>
      <c r="B70" t="s">
        <v>175</v>
      </c>
      <c r="C70" t="s">
        <v>175</v>
      </c>
      <c r="D70" t="s">
        <v>8</v>
      </c>
      <c r="E70">
        <f>IF(D70="No", "Priority 1", IF(C70&gt;B70, "Priority 2", "None"))</f>
        <v>0</v>
      </c>
    </row>
    <row r="71" spans="1:5">
      <c r="A71" t="s">
        <v>176</v>
      </c>
      <c r="B71" t="s">
        <v>177</v>
      </c>
      <c r="C71" t="s">
        <v>178</v>
      </c>
      <c r="D71" t="s">
        <v>8</v>
      </c>
      <c r="E71">
        <f>IF(D71="No", "Priority 1", IF(C71&gt;B71, "Priority 2", "None"))</f>
        <v>0</v>
      </c>
    </row>
    <row r="72" spans="1:5">
      <c r="A72" t="s">
        <v>179</v>
      </c>
      <c r="B72" t="s">
        <v>177</v>
      </c>
      <c r="C72" t="s">
        <v>180</v>
      </c>
      <c r="D72" t="s">
        <v>8</v>
      </c>
      <c r="E72">
        <f>IF(D72="No", "Priority 1", IF(C72&gt;B72, "Priority 2", "None"))</f>
        <v>0</v>
      </c>
    </row>
    <row r="73" spans="1:5">
      <c r="A73" t="s">
        <v>181</v>
      </c>
      <c r="B73" t="s">
        <v>182</v>
      </c>
      <c r="C73" t="s">
        <v>183</v>
      </c>
      <c r="D73" t="s">
        <v>8</v>
      </c>
      <c r="E73">
        <f>IF(D73="No", "Priority 1", IF(C73&gt;B73, "Priority 2", "None"))</f>
        <v>0</v>
      </c>
    </row>
    <row r="74" spans="1:5">
      <c r="A74" t="s">
        <v>184</v>
      </c>
      <c r="B74" t="s">
        <v>185</v>
      </c>
      <c r="C74" t="s">
        <v>186</v>
      </c>
      <c r="D74" t="s">
        <v>8</v>
      </c>
      <c r="E74">
        <f>IF(D74="No", "Priority 1", IF(C74&gt;B74, "Priority 2", "None"))</f>
        <v>0</v>
      </c>
    </row>
    <row r="75" spans="1:5">
      <c r="A75" t="s">
        <v>187</v>
      </c>
      <c r="B75" t="s">
        <v>188</v>
      </c>
      <c r="C75" t="s">
        <v>189</v>
      </c>
      <c r="D75" t="s">
        <v>8</v>
      </c>
      <c r="E75">
        <f>IF(D75="No", "Priority 1", IF(C75&gt;B75, "Priority 2", "None"))</f>
        <v>0</v>
      </c>
    </row>
    <row r="76" spans="1:5">
      <c r="A76" t="s">
        <v>190</v>
      </c>
      <c r="B76" t="s">
        <v>183</v>
      </c>
      <c r="C76" t="s">
        <v>191</v>
      </c>
      <c r="D76" t="s">
        <v>8</v>
      </c>
      <c r="E76">
        <f>IF(D76="No", "Priority 1", IF(C76&gt;B76, "Priority 2", "None"))</f>
        <v>0</v>
      </c>
    </row>
    <row r="77" spans="1:5">
      <c r="A77" t="s">
        <v>192</v>
      </c>
      <c r="B77" t="s">
        <v>193</v>
      </c>
      <c r="C77" t="s">
        <v>194</v>
      </c>
      <c r="D77" t="s">
        <v>8</v>
      </c>
      <c r="E77">
        <f>IF(D77="No", "Priority 1", IF(C77&gt;B77, "Priority 2", "None"))</f>
        <v>0</v>
      </c>
    </row>
    <row r="78" spans="1:5">
      <c r="A78" t="s">
        <v>195</v>
      </c>
      <c r="B78" t="s">
        <v>182</v>
      </c>
      <c r="C78" t="s">
        <v>182</v>
      </c>
      <c r="D78" t="s">
        <v>8</v>
      </c>
      <c r="E78">
        <f>IF(D78="No", "Priority 1", IF(C78&gt;B78, "Priority 2", "None"))</f>
        <v>0</v>
      </c>
    </row>
    <row r="79" spans="1:5">
      <c r="A79" t="s">
        <v>196</v>
      </c>
      <c r="B79" t="s">
        <v>197</v>
      </c>
      <c r="C79" t="s">
        <v>191</v>
      </c>
      <c r="D79" t="s">
        <v>8</v>
      </c>
      <c r="E79">
        <f>IF(D79="No", "Priority 1", IF(C79&gt;B79, "Priority 2", "None"))</f>
        <v>0</v>
      </c>
    </row>
    <row r="80" spans="1:5">
      <c r="A80" t="s">
        <v>198</v>
      </c>
      <c r="B80" t="s">
        <v>199</v>
      </c>
      <c r="C80" t="s">
        <v>177</v>
      </c>
      <c r="D80" t="s">
        <v>8</v>
      </c>
      <c r="E80">
        <f>IF(D80="No", "Priority 1", IF(C80&gt;B80, "Priority 2", "None"))</f>
        <v>0</v>
      </c>
    </row>
    <row r="81" spans="1:5">
      <c r="A81" t="s">
        <v>200</v>
      </c>
      <c r="B81" t="s">
        <v>175</v>
      </c>
      <c r="C81" t="s">
        <v>201</v>
      </c>
      <c r="D81" t="s">
        <v>8</v>
      </c>
      <c r="E81">
        <f>IF(D81="No", "Priority 1", IF(C81&gt;B81, "Priority 2", "None"))</f>
        <v>0</v>
      </c>
    </row>
    <row r="82" spans="1:5">
      <c r="A82" t="s">
        <v>202</v>
      </c>
      <c r="B82" t="s">
        <v>203</v>
      </c>
      <c r="C82" t="s">
        <v>204</v>
      </c>
      <c r="D82" t="s">
        <v>8</v>
      </c>
      <c r="E82">
        <f>IF(D82="No", "Priority 1", IF(C82&gt;B82, "Priority 2", "None"))</f>
        <v>0</v>
      </c>
    </row>
    <row r="83" spans="1:5">
      <c r="A83" t="s">
        <v>205</v>
      </c>
      <c r="B83" t="s">
        <v>206</v>
      </c>
      <c r="C83" t="s">
        <v>203</v>
      </c>
      <c r="D83" t="s">
        <v>8</v>
      </c>
      <c r="E83">
        <f>IF(D83="No", "Priority 1", IF(C83&gt;B83, "Priority 2", "None"))</f>
        <v>0</v>
      </c>
    </row>
    <row r="84" spans="1:5">
      <c r="A84" t="s">
        <v>207</v>
      </c>
      <c r="B84" t="s">
        <v>208</v>
      </c>
      <c r="C84" t="s">
        <v>209</v>
      </c>
      <c r="D84" t="s">
        <v>8</v>
      </c>
      <c r="E84">
        <f>IF(D84="No", "Priority 1", IF(C84&gt;B84, "Priority 2", "None"))</f>
        <v>0</v>
      </c>
    </row>
    <row r="85" spans="1:5">
      <c r="A85" t="s">
        <v>210</v>
      </c>
      <c r="B85" t="s">
        <v>211</v>
      </c>
      <c r="C85" t="s">
        <v>212</v>
      </c>
      <c r="D85" t="s">
        <v>8</v>
      </c>
      <c r="E85">
        <f>IF(D85="No", "Priority 1", IF(C85&gt;B85, "Priority 2", "None"))</f>
        <v>0</v>
      </c>
    </row>
    <row r="86" spans="1:5">
      <c r="A86" t="s">
        <v>213</v>
      </c>
      <c r="B86" t="s">
        <v>214</v>
      </c>
      <c r="C86" t="s">
        <v>215</v>
      </c>
      <c r="D86" t="s">
        <v>8</v>
      </c>
      <c r="E86">
        <f>IF(D86="No", "Priority 1", IF(C86&gt;B86, "Priority 2", "None"))</f>
        <v>0</v>
      </c>
    </row>
    <row r="87" spans="1:5">
      <c r="A87" t="s">
        <v>216</v>
      </c>
      <c r="B87" t="s">
        <v>217</v>
      </c>
      <c r="C87" t="s">
        <v>218</v>
      </c>
      <c r="D87" t="s">
        <v>8</v>
      </c>
      <c r="E87">
        <f>IF(D87="No", "Priority 1", IF(C87&gt;B87, "Priority 2", "None"))</f>
        <v>0</v>
      </c>
    </row>
    <row r="88" spans="1:5">
      <c r="A88" t="s">
        <v>219</v>
      </c>
      <c r="B88" t="s">
        <v>220</v>
      </c>
      <c r="C88" t="s">
        <v>221</v>
      </c>
      <c r="D88" t="s">
        <v>8</v>
      </c>
      <c r="E88">
        <f>IF(D88="No", "Priority 1", IF(C88&gt;B88, "Priority 2", "None"))</f>
        <v>0</v>
      </c>
    </row>
    <row r="89" spans="1:5">
      <c r="A89" t="s">
        <v>222</v>
      </c>
      <c r="B89" t="s">
        <v>223</v>
      </c>
      <c r="C89" t="s">
        <v>223</v>
      </c>
      <c r="D89" t="s">
        <v>8</v>
      </c>
      <c r="E89">
        <f>IF(D89="No", "Priority 1", IF(C89&gt;B89, "Priority 2", "None"))</f>
        <v>0</v>
      </c>
    </row>
    <row r="90" spans="1:5">
      <c r="A90" t="s">
        <v>224</v>
      </c>
      <c r="B90" t="s">
        <v>225</v>
      </c>
      <c r="C90" t="s">
        <v>226</v>
      </c>
      <c r="D90" t="s">
        <v>8</v>
      </c>
      <c r="E90">
        <f>IF(D90="No", "Priority 1", IF(C90&gt;B90, "Priority 2", "None"))</f>
        <v>0</v>
      </c>
    </row>
    <row r="91" spans="1:5">
      <c r="A91" t="s">
        <v>227</v>
      </c>
      <c r="B91" t="s">
        <v>225</v>
      </c>
      <c r="C91" t="s">
        <v>228</v>
      </c>
      <c r="D91" t="s">
        <v>8</v>
      </c>
      <c r="E91">
        <f>IF(D91="No", "Priority 1", IF(C91&gt;B91, "Priority 2", "None"))</f>
        <v>0</v>
      </c>
    </row>
    <row r="92" spans="1:5">
      <c r="A92" t="s">
        <v>229</v>
      </c>
      <c r="B92" t="s">
        <v>230</v>
      </c>
      <c r="C92" t="s">
        <v>228</v>
      </c>
      <c r="D92" t="s">
        <v>8</v>
      </c>
      <c r="E92">
        <f>IF(D92="No", "Priority 1", IF(C92&gt;B92, "Priority 2", "None"))</f>
        <v>0</v>
      </c>
    </row>
    <row r="93" spans="1:5">
      <c r="A93" t="s">
        <v>141</v>
      </c>
      <c r="B93" t="s">
        <v>231</v>
      </c>
      <c r="C93" t="s">
        <v>232</v>
      </c>
      <c r="D93" t="s">
        <v>8</v>
      </c>
      <c r="E93">
        <f>IF(D93="No", "Priority 1", IF(C93&gt;B93, "Priority 2", "None"))</f>
        <v>0</v>
      </c>
    </row>
    <row r="94" spans="1:5">
      <c r="A94" t="s">
        <v>233</v>
      </c>
      <c r="B94" t="s">
        <v>234</v>
      </c>
      <c r="C94" t="s">
        <v>235</v>
      </c>
      <c r="D94" t="s">
        <v>8</v>
      </c>
      <c r="E94">
        <f>IF(D94="No", "Priority 1", IF(C94&gt;B94, "Priority 2", "None"))</f>
        <v>0</v>
      </c>
    </row>
    <row r="95" spans="1:5">
      <c r="A95" t="s">
        <v>236</v>
      </c>
      <c r="B95" t="s">
        <v>237</v>
      </c>
      <c r="C95" t="s">
        <v>238</v>
      </c>
      <c r="D95" t="s">
        <v>8</v>
      </c>
      <c r="E95">
        <f>IF(D95="No", "Priority 1", IF(C95&gt;B95, "Priority 2", "None"))</f>
        <v>0</v>
      </c>
    </row>
    <row r="96" spans="1:5">
      <c r="A96" t="s">
        <v>239</v>
      </c>
      <c r="B96" t="s">
        <v>240</v>
      </c>
      <c r="C96" t="s">
        <v>241</v>
      </c>
      <c r="D96" t="s">
        <v>8</v>
      </c>
      <c r="E96">
        <f>IF(D96="No", "Priority 1", IF(C96&gt;B96, "Priority 2", "None"))</f>
        <v>0</v>
      </c>
    </row>
    <row r="97" spans="1:5">
      <c r="A97" t="s">
        <v>242</v>
      </c>
      <c r="B97" t="s">
        <v>243</v>
      </c>
      <c r="C97" t="s">
        <v>244</v>
      </c>
      <c r="D97" t="s">
        <v>8</v>
      </c>
      <c r="E97">
        <f>IF(D97="No", "Priority 1", IF(C97&gt;B97, "Priority 2", "None"))</f>
        <v>0</v>
      </c>
    </row>
    <row r="98" spans="1:5">
      <c r="A98" t="s">
        <v>245</v>
      </c>
      <c r="B98" t="s">
        <v>246</v>
      </c>
      <c r="C98" t="s">
        <v>247</v>
      </c>
      <c r="D98" t="s">
        <v>8</v>
      </c>
      <c r="E98">
        <f>IF(D98="No", "Priority 1", IF(C98&gt;B98, "Priority 2", "None"))</f>
        <v>0</v>
      </c>
    </row>
    <row r="99" spans="1:5">
      <c r="A99" t="s">
        <v>248</v>
      </c>
      <c r="B99" t="s">
        <v>249</v>
      </c>
      <c r="C99" t="s">
        <v>250</v>
      </c>
      <c r="D99" t="s">
        <v>8</v>
      </c>
      <c r="E99">
        <f>IF(D99="No", "Priority 1", IF(C99&gt;B99, "Priority 2", "None"))</f>
        <v>0</v>
      </c>
    </row>
    <row r="100" spans="1:5">
      <c r="A100" t="s">
        <v>251</v>
      </c>
      <c r="B100" t="s">
        <v>252</v>
      </c>
      <c r="C100" t="s">
        <v>253</v>
      </c>
      <c r="D100" t="s">
        <v>8</v>
      </c>
      <c r="E100">
        <f>IF(D100="No", "Priority 1", IF(C100&gt;B100, "Priority 2", "None"))</f>
        <v>0</v>
      </c>
    </row>
    <row r="101" spans="1:5">
      <c r="A101" t="s">
        <v>254</v>
      </c>
      <c r="B101" t="s">
        <v>255</v>
      </c>
      <c r="C101" t="s">
        <v>256</v>
      </c>
      <c r="D101" t="s">
        <v>8</v>
      </c>
      <c r="E101">
        <f>IF(D101="No", "Priority 1", IF(C101&gt;B101, "Priority 2", "None"))</f>
        <v>0</v>
      </c>
    </row>
    <row r="102" spans="1:5">
      <c r="A102" t="s">
        <v>257</v>
      </c>
      <c r="B102" t="s">
        <v>253</v>
      </c>
      <c r="C102" t="s">
        <v>258</v>
      </c>
      <c r="D102" t="s">
        <v>8</v>
      </c>
      <c r="E102">
        <f>IF(D102="No", "Priority 1", IF(C102&gt;B102, "Priority 2", "None"))</f>
        <v>0</v>
      </c>
    </row>
    <row r="103" spans="1:5">
      <c r="A103" t="s">
        <v>259</v>
      </c>
      <c r="B103" t="s">
        <v>260</v>
      </c>
      <c r="C103" t="s">
        <v>261</v>
      </c>
      <c r="D103" t="s">
        <v>8</v>
      </c>
      <c r="E103">
        <f>IF(D103="No", "Priority 1", IF(C103&gt;B103, "Priority 2", "None"))</f>
        <v>0</v>
      </c>
    </row>
    <row r="104" spans="1:5">
      <c r="A104" t="s">
        <v>262</v>
      </c>
      <c r="B104" t="s">
        <v>263</v>
      </c>
      <c r="C104" t="s">
        <v>264</v>
      </c>
      <c r="D104" t="s">
        <v>8</v>
      </c>
      <c r="E104">
        <f>IF(D104="No", "Priority 1", IF(C104&gt;B104, "Priority 2", "None"))</f>
        <v>0</v>
      </c>
    </row>
    <row r="105" spans="1:5">
      <c r="A105" t="s">
        <v>265</v>
      </c>
      <c r="B105" t="s">
        <v>266</v>
      </c>
      <c r="C105" t="s">
        <v>260</v>
      </c>
      <c r="D105" t="s">
        <v>8</v>
      </c>
      <c r="E105">
        <f>IF(D105="No", "Priority 1", IF(C105&gt;B105, "Priority 2", "None"))</f>
        <v>0</v>
      </c>
    </row>
    <row r="106" spans="1:5">
      <c r="A106" t="s">
        <v>267</v>
      </c>
      <c r="B106" t="s">
        <v>268</v>
      </c>
      <c r="C106" t="s">
        <v>268</v>
      </c>
      <c r="D106" t="s">
        <v>8</v>
      </c>
      <c r="E106">
        <f>IF(D106="No", "Priority 1", IF(C106&gt;B106, "Priority 2", "None"))</f>
        <v>0</v>
      </c>
    </row>
    <row r="107" spans="1:5">
      <c r="A107" t="s">
        <v>269</v>
      </c>
      <c r="B107" t="s">
        <v>270</v>
      </c>
      <c r="C107" t="s">
        <v>271</v>
      </c>
      <c r="D107" t="s">
        <v>8</v>
      </c>
      <c r="E107">
        <f>IF(D107="No", "Priority 1", IF(C107&gt;B107, "Priority 2", "None"))</f>
        <v>0</v>
      </c>
    </row>
    <row r="108" spans="1:5">
      <c r="A108" t="s">
        <v>272</v>
      </c>
      <c r="B108" t="s">
        <v>273</v>
      </c>
      <c r="C108" t="s">
        <v>261</v>
      </c>
      <c r="D108" t="s">
        <v>8</v>
      </c>
      <c r="E108">
        <f>IF(D108="No", "Priority 1", IF(C108&gt;B108, "Priority 2", "None"))</f>
        <v>0</v>
      </c>
    </row>
    <row r="109" spans="1:5">
      <c r="A109" t="s">
        <v>274</v>
      </c>
      <c r="B109" t="s">
        <v>275</v>
      </c>
      <c r="C109" t="s">
        <v>276</v>
      </c>
      <c r="D109" t="s">
        <v>8</v>
      </c>
      <c r="E109">
        <f>IF(D109="No", "Priority 1", IF(C109&gt;B109, "Priority 2", "None"))</f>
        <v>0</v>
      </c>
    </row>
    <row r="110" spans="1:5">
      <c r="A110" t="s">
        <v>277</v>
      </c>
      <c r="B110" t="s">
        <v>270</v>
      </c>
      <c r="C110" t="s">
        <v>278</v>
      </c>
      <c r="D110" t="s">
        <v>8</v>
      </c>
      <c r="E110">
        <f>IF(D110="No", "Priority 1", IF(C110&gt;B110, "Priority 2", "None"))</f>
        <v>0</v>
      </c>
    </row>
    <row r="111" spans="1:5">
      <c r="A111" t="s">
        <v>279</v>
      </c>
      <c r="B111" t="s">
        <v>280</v>
      </c>
      <c r="C111" t="s">
        <v>280</v>
      </c>
      <c r="D111" t="s">
        <v>8</v>
      </c>
      <c r="E111">
        <f>IF(D111="No", "Priority 1", IF(C111&gt;B111, "Priority 2", "None"))</f>
        <v>0</v>
      </c>
    </row>
    <row r="112" spans="1:5">
      <c r="A112" t="s">
        <v>281</v>
      </c>
      <c r="B112" t="s">
        <v>282</v>
      </c>
      <c r="C112" t="s">
        <v>283</v>
      </c>
      <c r="D112" t="s">
        <v>8</v>
      </c>
      <c r="E112">
        <f>IF(D112="No", "Priority 1", IF(C112&gt;B112, "Priority 2", "None"))</f>
        <v>0</v>
      </c>
    </row>
    <row r="113" spans="1:5">
      <c r="A113" t="s">
        <v>284</v>
      </c>
      <c r="B113" t="s">
        <v>285</v>
      </c>
      <c r="C113" t="s">
        <v>286</v>
      </c>
      <c r="D113" t="s">
        <v>8</v>
      </c>
      <c r="E113">
        <f>IF(D113="No", "Priority 1", IF(C113&gt;B113, "Priority 2", "None"))</f>
        <v>0</v>
      </c>
    </row>
    <row r="114" spans="1:5">
      <c r="A114" t="s">
        <v>287</v>
      </c>
      <c r="B114" t="s">
        <v>288</v>
      </c>
      <c r="C114" t="s">
        <v>289</v>
      </c>
      <c r="D114" t="s">
        <v>8</v>
      </c>
      <c r="E114">
        <f>IF(D114="No", "Priority 1", IF(C114&gt;B114, "Priority 2", "None"))</f>
        <v>0</v>
      </c>
    </row>
    <row r="115" spans="1:5">
      <c r="A115" t="s">
        <v>290</v>
      </c>
      <c r="B115" t="s">
        <v>291</v>
      </c>
      <c r="C115" t="s">
        <v>291</v>
      </c>
      <c r="D115" t="s">
        <v>8</v>
      </c>
      <c r="E115">
        <f>IF(D115="No", "Priority 1", IF(C115&gt;B115, "Priority 2", "None"))</f>
        <v>0</v>
      </c>
    </row>
    <row r="116" spans="1:5">
      <c r="A116" t="s">
        <v>292</v>
      </c>
      <c r="B116" t="s">
        <v>293</v>
      </c>
      <c r="C116" t="s">
        <v>294</v>
      </c>
      <c r="D116" t="s">
        <v>8</v>
      </c>
      <c r="E116">
        <f>IF(D116="No", "Priority 1", IF(C116&gt;B116, "Priority 2", "None"))</f>
        <v>0</v>
      </c>
    </row>
    <row r="117" spans="1:5">
      <c r="A117" t="s">
        <v>130</v>
      </c>
      <c r="B117" t="s">
        <v>295</v>
      </c>
      <c r="C117" t="s">
        <v>296</v>
      </c>
      <c r="D117" t="s">
        <v>8</v>
      </c>
      <c r="E117">
        <f>IF(D117="No", "Priority 1", IF(C117&gt;B117, "Priority 2", "None"))</f>
        <v>0</v>
      </c>
    </row>
    <row r="118" spans="1:5">
      <c r="A118" t="s">
        <v>297</v>
      </c>
      <c r="B118" t="s">
        <v>298</v>
      </c>
      <c r="C118" t="s">
        <v>299</v>
      </c>
      <c r="D118" t="s">
        <v>8</v>
      </c>
      <c r="E118">
        <f>IF(D118="No", "Priority 1", IF(C118&gt;B118, "Priority 2", "None"))</f>
        <v>0</v>
      </c>
    </row>
    <row r="119" spans="1:5">
      <c r="A119" t="s">
        <v>300</v>
      </c>
      <c r="B119" t="s">
        <v>301</v>
      </c>
      <c r="C119" t="s">
        <v>295</v>
      </c>
      <c r="D119" t="s">
        <v>8</v>
      </c>
      <c r="E119">
        <f>IF(D119="No", "Priority 1", IF(C119&gt;B119, "Priority 2", "None"))</f>
        <v>0</v>
      </c>
    </row>
    <row r="120" spans="1:5">
      <c r="A120" t="s">
        <v>302</v>
      </c>
      <c r="B120" t="s">
        <v>294</v>
      </c>
      <c r="C120" t="s">
        <v>298</v>
      </c>
      <c r="D120" t="s">
        <v>8</v>
      </c>
      <c r="E120">
        <f>IF(D120="No", "Priority 1", IF(C120&gt;B120, "Priority 2", "None"))</f>
        <v>0</v>
      </c>
    </row>
    <row r="121" spans="1:5">
      <c r="A121" t="s">
        <v>303</v>
      </c>
      <c r="B121" t="s">
        <v>304</v>
      </c>
      <c r="C121" t="s">
        <v>305</v>
      </c>
      <c r="D121" t="s">
        <v>8</v>
      </c>
      <c r="E121">
        <f>IF(D121="No", "Priority 1", IF(C121&gt;B121, "Priority 2", "None"))</f>
        <v>0</v>
      </c>
    </row>
    <row r="122" spans="1:5">
      <c r="A122" t="s">
        <v>306</v>
      </c>
      <c r="B122" t="s">
        <v>307</v>
      </c>
      <c r="C122" t="s">
        <v>307</v>
      </c>
      <c r="D122" t="s">
        <v>8</v>
      </c>
      <c r="E122">
        <f>IF(D122="No", "Priority 1", IF(C122&gt;B122, "Priority 2", "None"))</f>
        <v>0</v>
      </c>
    </row>
    <row r="123" spans="1:5">
      <c r="A123" t="s">
        <v>308</v>
      </c>
      <c r="B123" t="s">
        <v>309</v>
      </c>
      <c r="C123" t="s">
        <v>310</v>
      </c>
      <c r="D123" t="s">
        <v>8</v>
      </c>
      <c r="E123">
        <f>IF(D123="No", "Priority 1", IF(C123&gt;B123, "Priority 2", "None"))</f>
        <v>0</v>
      </c>
    </row>
    <row r="124" spans="1:5">
      <c r="A124" t="s">
        <v>311</v>
      </c>
      <c r="B124" t="s">
        <v>312</v>
      </c>
      <c r="C124" t="s">
        <v>313</v>
      </c>
      <c r="D124" t="s">
        <v>8</v>
      </c>
      <c r="E124">
        <f>IF(D124="No", "Priority 1", IF(C124&gt;B124, "Priority 2", "None"))</f>
        <v>0</v>
      </c>
    </row>
    <row r="125" spans="1:5">
      <c r="A125" t="s">
        <v>314</v>
      </c>
      <c r="B125" t="s">
        <v>315</v>
      </c>
      <c r="C125" t="s">
        <v>316</v>
      </c>
      <c r="D125" t="s">
        <v>8</v>
      </c>
      <c r="E125">
        <f>IF(D125="No", "Priority 1", IF(C125&gt;B125, "Priority 2", "None"))</f>
        <v>0</v>
      </c>
    </row>
    <row r="126" spans="1:5">
      <c r="A126" t="s">
        <v>317</v>
      </c>
      <c r="B126" t="s">
        <v>318</v>
      </c>
      <c r="C126" t="s">
        <v>319</v>
      </c>
      <c r="D126" t="s">
        <v>8</v>
      </c>
      <c r="E126">
        <f>IF(D126="No", "Priority 1", IF(C126&gt;B126, "Priority 2", "None"))</f>
        <v>0</v>
      </c>
    </row>
    <row r="127" spans="1:5">
      <c r="A127" t="s">
        <v>320</v>
      </c>
      <c r="B127" t="s">
        <v>319</v>
      </c>
      <c r="C127" t="s">
        <v>321</v>
      </c>
      <c r="D127" t="s">
        <v>322</v>
      </c>
      <c r="E127">
        <f>IF(D127="No", "Priority 1", IF(C127&gt;B127, "Priority 2", "None"))</f>
        <v>0</v>
      </c>
    </row>
    <row r="128" spans="1:5">
      <c r="A128" t="s">
        <v>323</v>
      </c>
      <c r="B128" t="s">
        <v>321</v>
      </c>
      <c r="C128" t="s">
        <v>324</v>
      </c>
      <c r="D128" t="s">
        <v>8</v>
      </c>
      <c r="E128">
        <f>IF(D128="No", "Priority 1", IF(C128&gt;B128, "Priority 2", "None"))</f>
        <v>0</v>
      </c>
    </row>
    <row r="129" spans="1:5">
      <c r="A129" t="s">
        <v>325</v>
      </c>
      <c r="B129" t="s">
        <v>326</v>
      </c>
      <c r="C129" t="s">
        <v>327</v>
      </c>
      <c r="D129" t="s">
        <v>8</v>
      </c>
      <c r="E129">
        <f>IF(D129="No", "Priority 1", IF(C129&gt;B129, "Priority 2", "None"))</f>
        <v>0</v>
      </c>
    </row>
    <row r="130" spans="1:5">
      <c r="A130" t="s">
        <v>328</v>
      </c>
      <c r="B130" t="s">
        <v>329</v>
      </c>
      <c r="C130" t="s">
        <v>330</v>
      </c>
      <c r="D130" t="s">
        <v>8</v>
      </c>
      <c r="E130">
        <f>IF(D130="No", "Priority 1", IF(C130&gt;B130, "Priority 2", "None"))</f>
        <v>0</v>
      </c>
    </row>
    <row r="131" spans="1:5">
      <c r="A131" t="s">
        <v>331</v>
      </c>
      <c r="B131" t="s">
        <v>332</v>
      </c>
      <c r="C131" t="s">
        <v>333</v>
      </c>
      <c r="D131" t="s">
        <v>8</v>
      </c>
      <c r="E131">
        <f>IF(D131="No", "Priority 1", IF(C131&gt;B131, "Priority 2", "None"))</f>
        <v>0</v>
      </c>
    </row>
    <row r="132" spans="1:5">
      <c r="A132" t="s">
        <v>334</v>
      </c>
      <c r="B132" t="s">
        <v>335</v>
      </c>
      <c r="C132" t="s">
        <v>336</v>
      </c>
      <c r="D132" t="s">
        <v>8</v>
      </c>
      <c r="E132">
        <f>IF(D132="No", "Priority 1", IF(C132&gt;B132, "Priority 2", "None"))</f>
        <v>0</v>
      </c>
    </row>
    <row r="133" spans="1:5">
      <c r="A133" t="s">
        <v>337</v>
      </c>
      <c r="B133" t="s">
        <v>338</v>
      </c>
      <c r="C133" t="s">
        <v>339</v>
      </c>
      <c r="D133" t="s">
        <v>8</v>
      </c>
      <c r="E133">
        <f>IF(D133="No", "Priority 1", IF(C133&gt;B133, "Priority 2", "None"))</f>
        <v>0</v>
      </c>
    </row>
    <row r="134" spans="1:5">
      <c r="A134" t="s">
        <v>340</v>
      </c>
      <c r="B134" t="s">
        <v>341</v>
      </c>
      <c r="C134" t="s">
        <v>341</v>
      </c>
      <c r="D134" t="s">
        <v>8</v>
      </c>
      <c r="E134">
        <f>IF(D134="No", "Priority 1", IF(C134&gt;B134, "Priority 2", "None"))</f>
        <v>0</v>
      </c>
    </row>
    <row r="135" spans="1:5">
      <c r="A135" t="s">
        <v>342</v>
      </c>
      <c r="B135" t="s">
        <v>343</v>
      </c>
      <c r="C135" t="s">
        <v>344</v>
      </c>
      <c r="D135" t="s">
        <v>8</v>
      </c>
      <c r="E135">
        <f>IF(D135="No", "Priority 1", IF(C135&gt;B135, "Priority 2", "None"))</f>
        <v>0</v>
      </c>
    </row>
    <row r="136" spans="1:5">
      <c r="A136" t="s">
        <v>345</v>
      </c>
      <c r="B136" t="s">
        <v>346</v>
      </c>
      <c r="C136" t="s">
        <v>347</v>
      </c>
      <c r="D136" t="s">
        <v>8</v>
      </c>
      <c r="E136">
        <f>IF(D136="No", "Priority 1", IF(C136&gt;B136, "Priority 2", "None"))</f>
        <v>0</v>
      </c>
    </row>
    <row r="137" spans="1:5">
      <c r="A137" t="s">
        <v>348</v>
      </c>
      <c r="B137" t="s">
        <v>349</v>
      </c>
      <c r="C137" t="s">
        <v>349</v>
      </c>
      <c r="D137" t="s">
        <v>8</v>
      </c>
      <c r="E137">
        <f>IF(D137="No", "Priority 1", IF(C137&gt;B137, "Priority 2", "None"))</f>
        <v>0</v>
      </c>
    </row>
    <row r="138" spans="1:5">
      <c r="A138" t="s">
        <v>350</v>
      </c>
      <c r="B138" t="s">
        <v>351</v>
      </c>
      <c r="C138" t="s">
        <v>351</v>
      </c>
      <c r="D138" t="s">
        <v>8</v>
      </c>
      <c r="E138">
        <f>IF(D138="No", "Priority 1", IF(C138&gt;B138, "Priority 2", "None"))</f>
        <v>0</v>
      </c>
    </row>
    <row r="139" spans="1:5">
      <c r="A139" t="s">
        <v>352</v>
      </c>
      <c r="B139" t="s">
        <v>353</v>
      </c>
      <c r="C139" t="s">
        <v>354</v>
      </c>
      <c r="D139" t="s">
        <v>8</v>
      </c>
      <c r="E139">
        <f>IF(D139="No", "Priority 1", IF(C139&gt;B139, "Priority 2", "None"))</f>
        <v>0</v>
      </c>
    </row>
    <row r="140" spans="1:5">
      <c r="A140" t="s">
        <v>355</v>
      </c>
      <c r="B140" t="s">
        <v>356</v>
      </c>
      <c r="C140" t="s">
        <v>357</v>
      </c>
      <c r="D140" t="s">
        <v>8</v>
      </c>
      <c r="E140">
        <f>IF(D140="No", "Priority 1", IF(C140&gt;B140, "Priority 2", "None"))</f>
        <v>0</v>
      </c>
    </row>
    <row r="141" spans="1:5">
      <c r="A141" t="s">
        <v>358</v>
      </c>
      <c r="B141" t="s">
        <v>359</v>
      </c>
      <c r="C141" t="s">
        <v>360</v>
      </c>
      <c r="D141" t="s">
        <v>8</v>
      </c>
      <c r="E141">
        <f>IF(D141="No", "Priority 1", IF(C141&gt;B141, "Priority 2", "None"))</f>
        <v>0</v>
      </c>
    </row>
    <row r="142" spans="1:5">
      <c r="A142" t="s">
        <v>361</v>
      </c>
      <c r="B142" t="s">
        <v>353</v>
      </c>
      <c r="C142" t="s">
        <v>362</v>
      </c>
      <c r="D142" t="s">
        <v>8</v>
      </c>
      <c r="E142">
        <f>IF(D142="No", "Priority 1", IF(C142&gt;B142, "Priority 2", "None"))</f>
        <v>0</v>
      </c>
    </row>
    <row r="143" spans="1:5">
      <c r="A143" t="s">
        <v>363</v>
      </c>
      <c r="B143" t="s">
        <v>364</v>
      </c>
      <c r="C143" t="s">
        <v>365</v>
      </c>
      <c r="D143" t="s">
        <v>8</v>
      </c>
      <c r="E143">
        <f>IF(D143="No", "Priority 1", IF(C143&gt;B143, "Priority 2", "None"))</f>
        <v>0</v>
      </c>
    </row>
    <row r="144" spans="1:5">
      <c r="A144" t="s">
        <v>366</v>
      </c>
      <c r="B144" t="s">
        <v>367</v>
      </c>
      <c r="C144" t="s">
        <v>367</v>
      </c>
      <c r="D144" t="s">
        <v>8</v>
      </c>
      <c r="E144">
        <f>IF(D144="No", "Priority 1", IF(C144&gt;B144, "Priority 2", "None"))</f>
        <v>0</v>
      </c>
    </row>
    <row r="145" spans="1:5">
      <c r="A145" t="s">
        <v>368</v>
      </c>
      <c r="B145" t="s">
        <v>364</v>
      </c>
      <c r="C145" t="s">
        <v>364</v>
      </c>
      <c r="D145" t="s">
        <v>8</v>
      </c>
      <c r="E145">
        <f>IF(D145="No", "Priority 1", IF(C145&gt;B145, "Priority 2", "None"))</f>
        <v>0</v>
      </c>
    </row>
    <row r="146" spans="1:5">
      <c r="A146" t="s">
        <v>369</v>
      </c>
      <c r="B146" t="s">
        <v>370</v>
      </c>
      <c r="C146" t="s">
        <v>370</v>
      </c>
      <c r="D146" t="s">
        <v>8</v>
      </c>
      <c r="E146">
        <f>IF(D146="No", "Priority 1", IF(C146&gt;B146, "Priority 2", "None"))</f>
        <v>0</v>
      </c>
    </row>
    <row r="147" spans="1:5">
      <c r="A147" t="s">
        <v>371</v>
      </c>
      <c r="B147" t="s">
        <v>372</v>
      </c>
      <c r="C147" t="s">
        <v>373</v>
      </c>
      <c r="D147" t="s">
        <v>8</v>
      </c>
      <c r="E147">
        <f>IF(D147="No", "Priority 1", IF(C147&gt;B147, "Priority 2", "None"))</f>
        <v>0</v>
      </c>
    </row>
    <row r="148" spans="1:5">
      <c r="A148" t="s">
        <v>374</v>
      </c>
      <c r="B148" t="s">
        <v>375</v>
      </c>
      <c r="C148" t="s">
        <v>376</v>
      </c>
      <c r="D148" t="s">
        <v>8</v>
      </c>
      <c r="E148">
        <f>IF(D148="No", "Priority 1", IF(C148&gt;B148, "Priority 2", "None"))</f>
        <v>0</v>
      </c>
    </row>
    <row r="149" spans="1:5">
      <c r="A149" t="s">
        <v>377</v>
      </c>
      <c r="B149" t="s">
        <v>378</v>
      </c>
      <c r="C149" t="s">
        <v>378</v>
      </c>
      <c r="D149" t="s">
        <v>8</v>
      </c>
      <c r="E149">
        <f>IF(D149="No", "Priority 1", IF(C149&gt;B149, "Priority 2", "None"))</f>
        <v>0</v>
      </c>
    </row>
    <row r="150" spans="1:5">
      <c r="A150" t="s">
        <v>379</v>
      </c>
      <c r="B150" t="s">
        <v>378</v>
      </c>
      <c r="C150" t="s">
        <v>380</v>
      </c>
      <c r="D150" t="s">
        <v>8</v>
      </c>
      <c r="E150">
        <f>IF(D150="No", "Priority 1", IF(C150&gt;B150, "Priority 2", "None"))</f>
        <v>0</v>
      </c>
    </row>
    <row r="151" spans="1:5">
      <c r="A151" t="s">
        <v>381</v>
      </c>
      <c r="B151" t="s">
        <v>382</v>
      </c>
      <c r="C151" t="s">
        <v>376</v>
      </c>
      <c r="D151" t="s">
        <v>8</v>
      </c>
      <c r="E151">
        <f>IF(D151="No", "Priority 1", IF(C151&gt;B151, "Priority 2", "None"))</f>
        <v>0</v>
      </c>
    </row>
    <row r="152" spans="1:5">
      <c r="A152" t="s">
        <v>383</v>
      </c>
      <c r="B152" t="s">
        <v>384</v>
      </c>
      <c r="C152" t="s">
        <v>385</v>
      </c>
      <c r="D152" t="s">
        <v>8</v>
      </c>
      <c r="E152">
        <f>IF(D152="No", "Priority 1", IF(C152&gt;B152, "Priority 2", "None"))</f>
        <v>0</v>
      </c>
    </row>
    <row r="153" spans="1:5">
      <c r="A153" t="s">
        <v>386</v>
      </c>
      <c r="B153" t="s">
        <v>387</v>
      </c>
      <c r="C153" t="s">
        <v>388</v>
      </c>
      <c r="D153" t="s">
        <v>8</v>
      </c>
      <c r="E153">
        <f>IF(D153="No", "Priority 1", IF(C153&gt;B153, "Priority 2", "None"))</f>
        <v>0</v>
      </c>
    </row>
    <row r="154" spans="1:5">
      <c r="A154" t="s">
        <v>389</v>
      </c>
      <c r="B154" t="s">
        <v>390</v>
      </c>
      <c r="C154" t="s">
        <v>378</v>
      </c>
      <c r="D154" t="s">
        <v>8</v>
      </c>
      <c r="E154">
        <f>IF(D154="No", "Priority 1", IF(C154&gt;B154, "Priority 2", "None"))</f>
        <v>0</v>
      </c>
    </row>
    <row r="155" spans="1:5">
      <c r="A155" t="s">
        <v>391</v>
      </c>
      <c r="B155" t="s">
        <v>392</v>
      </c>
      <c r="C155" t="s">
        <v>393</v>
      </c>
      <c r="D155" t="s">
        <v>8</v>
      </c>
      <c r="E155">
        <f>IF(D155="No", "Priority 1", IF(C155&gt;B155, "Priority 2", "None"))</f>
        <v>0</v>
      </c>
    </row>
    <row r="156" spans="1:5">
      <c r="A156" t="s">
        <v>394</v>
      </c>
      <c r="B156" t="s">
        <v>395</v>
      </c>
      <c r="C156" t="s">
        <v>395</v>
      </c>
      <c r="D156" t="s">
        <v>8</v>
      </c>
      <c r="E156">
        <f>IF(D156="No", "Priority 1", IF(C156&gt;B156, "Priority 2", "None"))</f>
        <v>0</v>
      </c>
    </row>
    <row r="157" spans="1:5">
      <c r="A157" t="s">
        <v>396</v>
      </c>
      <c r="B157" t="s">
        <v>393</v>
      </c>
      <c r="C157" t="s">
        <v>397</v>
      </c>
      <c r="D157" t="s">
        <v>8</v>
      </c>
      <c r="E157">
        <f>IF(D157="No", "Priority 1", IF(C157&gt;B157, "Priority 2", "None"))</f>
        <v>0</v>
      </c>
    </row>
    <row r="158" spans="1:5">
      <c r="A158" t="s">
        <v>120</v>
      </c>
      <c r="B158" t="s">
        <v>398</v>
      </c>
      <c r="C158" t="s">
        <v>399</v>
      </c>
      <c r="D158" t="s">
        <v>8</v>
      </c>
      <c r="E158">
        <f>IF(D158="No", "Priority 1", IF(C158&gt;B158, "Priority 2", "None"))</f>
        <v>0</v>
      </c>
    </row>
    <row r="159" spans="1:5">
      <c r="A159" t="s">
        <v>400</v>
      </c>
      <c r="B159" t="s">
        <v>401</v>
      </c>
      <c r="C159" t="s">
        <v>402</v>
      </c>
      <c r="D159" t="s">
        <v>8</v>
      </c>
      <c r="E159">
        <f>IF(D159="No", "Priority 1", IF(C159&gt;B159, "Priority 2", "None"))</f>
        <v>0</v>
      </c>
    </row>
    <row r="160" spans="1:5">
      <c r="A160" t="s">
        <v>403</v>
      </c>
      <c r="B160" t="s">
        <v>404</v>
      </c>
      <c r="C160" t="s">
        <v>405</v>
      </c>
      <c r="D160" t="s">
        <v>8</v>
      </c>
      <c r="E160">
        <f>IF(D160="No", "Priority 1", IF(C160&gt;B160, "Priority 2", "None"))</f>
        <v>0</v>
      </c>
    </row>
    <row r="161" spans="1:5">
      <c r="A161" t="s">
        <v>406</v>
      </c>
      <c r="B161" t="s">
        <v>407</v>
      </c>
      <c r="C161" t="s">
        <v>407</v>
      </c>
      <c r="D161" t="s">
        <v>8</v>
      </c>
      <c r="E161">
        <f>IF(D161="No", "Priority 1", IF(C161&gt;B161, "Priority 2", "None"))</f>
        <v>0</v>
      </c>
    </row>
    <row r="162" spans="1:5">
      <c r="A162" t="s">
        <v>408</v>
      </c>
      <c r="B162" t="s">
        <v>409</v>
      </c>
      <c r="C162" t="s">
        <v>404</v>
      </c>
      <c r="D162" t="s">
        <v>8</v>
      </c>
      <c r="E162">
        <f>IF(D162="No", "Priority 1", IF(C162&gt;B162, "Priority 2", "None"))</f>
        <v>0</v>
      </c>
    </row>
    <row r="163" spans="1:5">
      <c r="A163" t="s">
        <v>410</v>
      </c>
      <c r="B163" t="s">
        <v>411</v>
      </c>
      <c r="C163" t="s">
        <v>411</v>
      </c>
      <c r="D163" t="s">
        <v>8</v>
      </c>
      <c r="E163">
        <f>IF(D163="No", "Priority 1", IF(C163&gt;B163, "Priority 2", "None"))</f>
        <v>0</v>
      </c>
    </row>
    <row r="164" spans="1:5">
      <c r="A164" t="s">
        <v>412</v>
      </c>
      <c r="B164" t="s">
        <v>413</v>
      </c>
      <c r="C164" t="s">
        <v>413</v>
      </c>
      <c r="D164" t="s">
        <v>8</v>
      </c>
      <c r="E164">
        <f>IF(D164="No", "Priority 1", IF(C164&gt;B164, "Priority 2", "None"))</f>
        <v>0</v>
      </c>
    </row>
    <row r="165" spans="1:5">
      <c r="A165" t="s">
        <v>207</v>
      </c>
      <c r="B165" t="s">
        <v>414</v>
      </c>
      <c r="C165" t="s">
        <v>415</v>
      </c>
      <c r="D165" t="s">
        <v>8</v>
      </c>
      <c r="E165">
        <f>IF(D165="No", "Priority 1", IF(C165&gt;B165, "Priority 2", "None"))</f>
        <v>0</v>
      </c>
    </row>
    <row r="166" spans="1:5">
      <c r="A166" t="s">
        <v>416</v>
      </c>
      <c r="B166" t="s">
        <v>417</v>
      </c>
      <c r="C166" t="s">
        <v>418</v>
      </c>
      <c r="D166" t="s">
        <v>8</v>
      </c>
      <c r="E166">
        <f>IF(D166="No", "Priority 1", IF(C166&gt;B166, "Priority 2", "None"))</f>
        <v>0</v>
      </c>
    </row>
    <row r="167" spans="1:5">
      <c r="A167" t="s">
        <v>419</v>
      </c>
      <c r="B167" t="s">
        <v>420</v>
      </c>
      <c r="C167" t="s">
        <v>421</v>
      </c>
      <c r="D167" t="s">
        <v>8</v>
      </c>
      <c r="E167">
        <f>IF(D167="No", "Priority 1", IF(C167&gt;B167, "Priority 2", "None"))</f>
        <v>0</v>
      </c>
    </row>
    <row r="168" spans="1:5">
      <c r="A168" t="s">
        <v>422</v>
      </c>
      <c r="B168" t="s">
        <v>423</v>
      </c>
      <c r="C168" t="s">
        <v>415</v>
      </c>
      <c r="D168" t="s">
        <v>8</v>
      </c>
      <c r="E168">
        <f>IF(D168="No", "Priority 1", IF(C168&gt;B168, "Priority 2", "None"))</f>
        <v>0</v>
      </c>
    </row>
    <row r="169" spans="1:5">
      <c r="A169" t="s">
        <v>424</v>
      </c>
      <c r="B169" t="s">
        <v>425</v>
      </c>
      <c r="C169" t="s">
        <v>426</v>
      </c>
      <c r="D169" t="s">
        <v>8</v>
      </c>
      <c r="E169">
        <f>IF(D169="No", "Priority 1", IF(C169&gt;B169, "Priority 2", "None"))</f>
        <v>0</v>
      </c>
    </row>
    <row r="170" spans="1:5">
      <c r="A170" t="s">
        <v>427</v>
      </c>
      <c r="B170" t="s">
        <v>428</v>
      </c>
      <c r="C170" t="s">
        <v>428</v>
      </c>
      <c r="D170" t="s">
        <v>8</v>
      </c>
      <c r="E170">
        <f>IF(D170="No", "Priority 1", IF(C170&gt;B170, "Priority 2", "None"))</f>
        <v>0</v>
      </c>
    </row>
    <row r="171" spans="1:5">
      <c r="A171" t="s">
        <v>429</v>
      </c>
      <c r="B171" t="s">
        <v>430</v>
      </c>
      <c r="C171" t="s">
        <v>431</v>
      </c>
      <c r="D171" t="s">
        <v>8</v>
      </c>
      <c r="E171">
        <f>IF(D171="No", "Priority 1", IF(C171&gt;B171, "Priority 2", "None"))</f>
        <v>0</v>
      </c>
    </row>
    <row r="172" spans="1:5">
      <c r="A172" t="s">
        <v>432</v>
      </c>
      <c r="B172" t="s">
        <v>433</v>
      </c>
      <c r="C172" t="s">
        <v>434</v>
      </c>
      <c r="D172" t="s">
        <v>8</v>
      </c>
      <c r="E172">
        <f>IF(D172="No", "Priority 1", IF(C172&gt;B172, "Priority 2", "None"))</f>
        <v>0</v>
      </c>
    </row>
    <row r="173" spans="1:5">
      <c r="A173" t="s">
        <v>435</v>
      </c>
      <c r="B173" t="s">
        <v>436</v>
      </c>
      <c r="C173" t="s">
        <v>433</v>
      </c>
      <c r="D173" t="s">
        <v>8</v>
      </c>
      <c r="E173">
        <f>IF(D173="No", "Priority 1", IF(C173&gt;B173, "Priority 2", "None"))</f>
        <v>0</v>
      </c>
    </row>
    <row r="174" spans="1:5">
      <c r="A174" t="s">
        <v>437</v>
      </c>
      <c r="B174" t="s">
        <v>438</v>
      </c>
      <c r="C174" t="s">
        <v>439</v>
      </c>
      <c r="D174" t="s">
        <v>8</v>
      </c>
      <c r="E174">
        <f>IF(D174="No", "Priority 1", IF(C174&gt;B174, "Priority 2", "None"))</f>
        <v>0</v>
      </c>
    </row>
    <row r="175" spans="1:5">
      <c r="A175" t="s">
        <v>440</v>
      </c>
      <c r="B175" t="s">
        <v>441</v>
      </c>
      <c r="C175" t="s">
        <v>442</v>
      </c>
      <c r="D175" t="s">
        <v>8</v>
      </c>
      <c r="E175">
        <f>IF(D175="No", "Priority 1", IF(C175&gt;B175, "Priority 2", "None"))</f>
        <v>0</v>
      </c>
    </row>
    <row r="176" spans="1:5">
      <c r="A176" t="s">
        <v>443</v>
      </c>
      <c r="B176" t="s">
        <v>444</v>
      </c>
      <c r="C176" t="s">
        <v>445</v>
      </c>
      <c r="D176" t="s">
        <v>8</v>
      </c>
      <c r="E176">
        <f>IF(D176="No", "Priority 1", IF(C176&gt;B176, "Priority 2", "None"))</f>
        <v>0</v>
      </c>
    </row>
    <row r="177" spans="1:5">
      <c r="A177" t="s">
        <v>251</v>
      </c>
      <c r="B177" t="s">
        <v>446</v>
      </c>
      <c r="C177" t="s">
        <v>447</v>
      </c>
      <c r="D177" t="s">
        <v>8</v>
      </c>
      <c r="E177">
        <f>IF(D177="No", "Priority 1", IF(C177&gt;B177, "Priority 2", "None"))</f>
        <v>0</v>
      </c>
    </row>
    <row r="178" spans="1:5">
      <c r="A178" t="s">
        <v>448</v>
      </c>
      <c r="B178" t="s">
        <v>449</v>
      </c>
      <c r="C178" t="s">
        <v>450</v>
      </c>
      <c r="D178" t="s">
        <v>8</v>
      </c>
      <c r="E178">
        <f>IF(D178="No", "Priority 1", IF(C178&gt;B178, "Priority 2", "None"))</f>
        <v>0</v>
      </c>
    </row>
    <row r="179" spans="1:5">
      <c r="A179" t="s">
        <v>451</v>
      </c>
      <c r="B179" t="s">
        <v>452</v>
      </c>
      <c r="C179" t="s">
        <v>453</v>
      </c>
      <c r="D179" t="s">
        <v>8</v>
      </c>
      <c r="E179">
        <f>IF(D179="No", "Priority 1", IF(C179&gt;B179, "Priority 2", "None"))</f>
        <v>0</v>
      </c>
    </row>
    <row r="180" spans="1:5">
      <c r="A180" t="s">
        <v>454</v>
      </c>
      <c r="B180" t="s">
        <v>455</v>
      </c>
      <c r="C180" t="s">
        <v>456</v>
      </c>
      <c r="D180" t="s">
        <v>8</v>
      </c>
      <c r="E180">
        <f>IF(D180="No", "Priority 1", IF(C180&gt;B180, "Priority 2", "None"))</f>
        <v>0</v>
      </c>
    </row>
    <row r="181" spans="1:5">
      <c r="A181" t="s">
        <v>457</v>
      </c>
      <c r="B181" t="s">
        <v>446</v>
      </c>
      <c r="C181" t="s">
        <v>447</v>
      </c>
      <c r="D181" t="s">
        <v>8</v>
      </c>
      <c r="E181">
        <f>IF(D181="No", "Priority 1", IF(C181&gt;B181, "Priority 2", "None"))</f>
        <v>0</v>
      </c>
    </row>
    <row r="182" spans="1:5">
      <c r="A182" t="s">
        <v>458</v>
      </c>
      <c r="B182" t="s">
        <v>459</v>
      </c>
      <c r="C182" t="s">
        <v>449</v>
      </c>
      <c r="D182" t="s">
        <v>8</v>
      </c>
      <c r="E182">
        <f>IF(D182="No", "Priority 1", IF(C182&gt;B182, "Priority 2", "None"))</f>
        <v>0</v>
      </c>
    </row>
    <row r="183" spans="1:5">
      <c r="A183" t="s">
        <v>460</v>
      </c>
      <c r="B183" t="s">
        <v>461</v>
      </c>
      <c r="C183" t="s">
        <v>462</v>
      </c>
      <c r="D183" t="s">
        <v>8</v>
      </c>
      <c r="E183">
        <f>IF(D183="No", "Priority 1", IF(C183&gt;B183, "Priority 2", "None"))</f>
        <v>0</v>
      </c>
    </row>
    <row r="184" spans="1:5">
      <c r="A184" t="s">
        <v>463</v>
      </c>
      <c r="B184" t="s">
        <v>464</v>
      </c>
      <c r="C184" t="s">
        <v>465</v>
      </c>
      <c r="D184" t="s">
        <v>8</v>
      </c>
      <c r="E184">
        <f>IF(D184="No", "Priority 1", IF(C184&gt;B184, "Priority 2", "None"))</f>
        <v>0</v>
      </c>
    </row>
    <row r="185" spans="1:5">
      <c r="A185" t="s">
        <v>466</v>
      </c>
      <c r="B185" t="s">
        <v>467</v>
      </c>
      <c r="C185" t="s">
        <v>468</v>
      </c>
      <c r="D185" t="s">
        <v>8</v>
      </c>
      <c r="E185">
        <f>IF(D185="No", "Priority 1", IF(C185&gt;B185, "Priority 2", "None"))</f>
        <v>0</v>
      </c>
    </row>
    <row r="186" spans="1:5">
      <c r="A186" t="s">
        <v>469</v>
      </c>
      <c r="B186" t="s">
        <v>470</v>
      </c>
      <c r="C186" t="s">
        <v>464</v>
      </c>
      <c r="D186" t="s">
        <v>8</v>
      </c>
      <c r="E186">
        <f>IF(D186="No", "Priority 1", IF(C186&gt;B186, "Priority 2", "None"))</f>
        <v>0</v>
      </c>
    </row>
    <row r="187" spans="1:5">
      <c r="A187" t="s">
        <v>471</v>
      </c>
      <c r="B187" t="s">
        <v>464</v>
      </c>
      <c r="C187" t="s">
        <v>464</v>
      </c>
      <c r="D187" t="s">
        <v>8</v>
      </c>
      <c r="E187">
        <f>IF(D187="No", "Priority 1", IF(C187&gt;B187, "Priority 2", "None"))</f>
        <v>0</v>
      </c>
    </row>
    <row r="188" spans="1:5">
      <c r="A188" t="s">
        <v>472</v>
      </c>
      <c r="B188" t="s">
        <v>473</v>
      </c>
      <c r="C188" t="s">
        <v>474</v>
      </c>
      <c r="D188" t="s">
        <v>8</v>
      </c>
      <c r="E188">
        <f>IF(D188="No", "Priority 1", IF(C188&gt;B188, "Priority 2", "None"))</f>
        <v>0</v>
      </c>
    </row>
    <row r="189" spans="1:5">
      <c r="A189" t="s">
        <v>475</v>
      </c>
      <c r="B189" t="s">
        <v>476</v>
      </c>
      <c r="C189" t="s">
        <v>477</v>
      </c>
      <c r="D189" t="s">
        <v>8</v>
      </c>
      <c r="E189">
        <f>IF(D189="No", "Priority 1", IF(C189&gt;B189, "Priority 2", "None"))</f>
        <v>0</v>
      </c>
    </row>
    <row r="190" spans="1:5">
      <c r="A190" t="s">
        <v>478</v>
      </c>
      <c r="B190" t="s">
        <v>476</v>
      </c>
      <c r="C190" t="s">
        <v>479</v>
      </c>
      <c r="D190" t="s">
        <v>8</v>
      </c>
      <c r="E190">
        <f>IF(D190="No", "Priority 1", IF(C190&gt;B190, "Priority 2", "None"))</f>
        <v>0</v>
      </c>
    </row>
    <row r="191" spans="1:5">
      <c r="A191" t="s">
        <v>480</v>
      </c>
      <c r="B191" t="s">
        <v>481</v>
      </c>
      <c r="C191" t="s">
        <v>482</v>
      </c>
      <c r="D191" t="s">
        <v>8</v>
      </c>
      <c r="E191">
        <f>IF(D191="No", "Priority 1", IF(C191&gt;B191, "Priority 2", "None"))</f>
        <v>0</v>
      </c>
    </row>
    <row r="192" spans="1:5">
      <c r="A192" t="s">
        <v>483</v>
      </c>
      <c r="B192" t="s">
        <v>484</v>
      </c>
      <c r="C192" t="s">
        <v>485</v>
      </c>
      <c r="D192" t="s">
        <v>8</v>
      </c>
      <c r="E192">
        <f>IF(D192="No", "Priority 1", IF(C192&gt;B192, "Priority 2", "None"))</f>
        <v>0</v>
      </c>
    </row>
    <row r="193" spans="1:5">
      <c r="A193" t="s">
        <v>486</v>
      </c>
      <c r="B193" t="s">
        <v>487</v>
      </c>
      <c r="C193" t="s">
        <v>487</v>
      </c>
      <c r="D193" t="s">
        <v>8</v>
      </c>
      <c r="E193">
        <f>IF(D193="No", "Priority 1", IF(C193&gt;B193, "Priority 2", "None"))</f>
        <v>0</v>
      </c>
    </row>
    <row r="194" spans="1:5">
      <c r="A194" t="s">
        <v>488</v>
      </c>
      <c r="B194" t="s">
        <v>477</v>
      </c>
      <c r="C194" t="s">
        <v>479</v>
      </c>
      <c r="D194" t="s">
        <v>8</v>
      </c>
      <c r="E194">
        <f>IF(D194="No", "Priority 1", IF(C194&gt;B194, "Priority 2", "None"))</f>
        <v>0</v>
      </c>
    </row>
    <row r="195" spans="1:5">
      <c r="A195" t="s">
        <v>489</v>
      </c>
      <c r="B195" t="s">
        <v>490</v>
      </c>
      <c r="C195" t="s">
        <v>491</v>
      </c>
      <c r="D195" t="s">
        <v>8</v>
      </c>
      <c r="E195">
        <f>IF(D195="No", "Priority 1", IF(C195&gt;B195, "Priority 2", "None"))</f>
        <v>0</v>
      </c>
    </row>
    <row r="196" spans="1:5">
      <c r="A196" t="s">
        <v>300</v>
      </c>
      <c r="B196" t="s">
        <v>484</v>
      </c>
      <c r="C196" t="s">
        <v>492</v>
      </c>
      <c r="D196" t="s">
        <v>8</v>
      </c>
      <c r="E196">
        <f>IF(D196="No", "Priority 1", IF(C196&gt;B196, "Priority 2", "None"))</f>
        <v>0</v>
      </c>
    </row>
    <row r="197" spans="1:5">
      <c r="A197" t="s">
        <v>493</v>
      </c>
      <c r="B197" t="s">
        <v>494</v>
      </c>
      <c r="C197" t="s">
        <v>495</v>
      </c>
      <c r="D197" t="s">
        <v>8</v>
      </c>
      <c r="E197">
        <f>IF(D197="No", "Priority 1", IF(C197&gt;B197, "Priority 2", "None"))</f>
        <v>0</v>
      </c>
    </row>
    <row r="198" spans="1:5">
      <c r="A198" t="s">
        <v>496</v>
      </c>
      <c r="B198" t="s">
        <v>497</v>
      </c>
      <c r="C198" t="s">
        <v>498</v>
      </c>
      <c r="D198" t="s">
        <v>8</v>
      </c>
      <c r="E198">
        <f>IF(D198="No", "Priority 1", IF(C198&gt;B198, "Priority 2", "None"))</f>
        <v>0</v>
      </c>
    </row>
    <row r="199" spans="1:5">
      <c r="A199" t="s">
        <v>499</v>
      </c>
      <c r="B199" t="s">
        <v>500</v>
      </c>
      <c r="C199" t="s">
        <v>501</v>
      </c>
      <c r="D199" t="s">
        <v>8</v>
      </c>
      <c r="E199">
        <f>IF(D199="No", "Priority 1", IF(C199&gt;B199, "Priority 2", "None"))</f>
        <v>0</v>
      </c>
    </row>
    <row r="200" spans="1:5">
      <c r="A200" t="s">
        <v>502</v>
      </c>
      <c r="B200" t="s">
        <v>495</v>
      </c>
      <c r="C200" t="s">
        <v>503</v>
      </c>
      <c r="D200" t="s">
        <v>8</v>
      </c>
      <c r="E200">
        <f>IF(D200="No", "Priority 1", IF(C200&gt;B200, "Priority 2", "None"))</f>
        <v>0</v>
      </c>
    </row>
    <row r="201" spans="1:5">
      <c r="A201" t="s">
        <v>504</v>
      </c>
      <c r="B201" t="s">
        <v>501</v>
      </c>
      <c r="C201" t="s">
        <v>505</v>
      </c>
      <c r="D201" t="s">
        <v>8</v>
      </c>
      <c r="E201">
        <f>IF(D201="No", "Priority 1", IF(C201&gt;B201, "Priority 2", "None"))</f>
        <v>0</v>
      </c>
    </row>
    <row r="202" spans="1:5">
      <c r="A202" t="s">
        <v>506</v>
      </c>
      <c r="B202" t="s">
        <v>507</v>
      </c>
      <c r="C202" t="s">
        <v>507</v>
      </c>
      <c r="D202" t="s">
        <v>8</v>
      </c>
      <c r="E202">
        <f>IF(D202="No", "Priority 1", IF(C202&gt;B202, "Priority 2", "None"))</f>
        <v>0</v>
      </c>
    </row>
    <row r="203" spans="1:5">
      <c r="A203" t="s">
        <v>508</v>
      </c>
      <c r="B203" t="s">
        <v>509</v>
      </c>
      <c r="C203" t="s">
        <v>509</v>
      </c>
      <c r="D203" t="s">
        <v>8</v>
      </c>
      <c r="E203">
        <f>IF(D203="No", "Priority 1", IF(C203&gt;B203, "Priority 2", "None"))</f>
        <v>0</v>
      </c>
    </row>
    <row r="204" spans="1:5">
      <c r="A204" t="s">
        <v>466</v>
      </c>
      <c r="B204" t="s">
        <v>510</v>
      </c>
      <c r="C204" t="s">
        <v>510</v>
      </c>
      <c r="D204" t="s">
        <v>8</v>
      </c>
      <c r="E204">
        <f>IF(D204="No", "Priority 1", IF(C204&gt;B204, "Priority 2", "None"))</f>
        <v>0</v>
      </c>
    </row>
    <row r="205" spans="1:5">
      <c r="A205" t="s">
        <v>511</v>
      </c>
      <c r="B205" t="s">
        <v>512</v>
      </c>
      <c r="C205" t="s">
        <v>513</v>
      </c>
      <c r="D205" t="s">
        <v>8</v>
      </c>
      <c r="E205">
        <f>IF(D205="No", "Priority 1", IF(C205&gt;B205, "Priority 2", "None"))</f>
        <v>0</v>
      </c>
    </row>
    <row r="206" spans="1:5">
      <c r="A206" t="s">
        <v>514</v>
      </c>
      <c r="B206" t="s">
        <v>512</v>
      </c>
      <c r="C206" t="s">
        <v>515</v>
      </c>
      <c r="D206" t="s">
        <v>8</v>
      </c>
      <c r="E206">
        <f>IF(D206="No", "Priority 1", IF(C206&gt;B206, "Priority 2", "None"))</f>
        <v>0</v>
      </c>
    </row>
    <row r="207" spans="1:5">
      <c r="A207" t="s">
        <v>516</v>
      </c>
      <c r="B207" t="s">
        <v>517</v>
      </c>
      <c r="C207" t="s">
        <v>518</v>
      </c>
      <c r="D207" t="s">
        <v>8</v>
      </c>
      <c r="E207">
        <f>IF(D207="No", "Priority 1", IF(C207&gt;B207, "Priority 2", "None"))</f>
        <v>0</v>
      </c>
    </row>
    <row r="208" spans="1:5">
      <c r="A208" t="s">
        <v>519</v>
      </c>
      <c r="B208" t="s">
        <v>512</v>
      </c>
      <c r="C208" t="s">
        <v>520</v>
      </c>
      <c r="D208" t="s">
        <v>8</v>
      </c>
      <c r="E208">
        <f>IF(D208="No", "Priority 1", IF(C208&gt;B208, "Priority 2", "None"))</f>
        <v>0</v>
      </c>
    </row>
    <row r="209" spans="1:5">
      <c r="A209" t="s">
        <v>521</v>
      </c>
      <c r="B209" t="s">
        <v>518</v>
      </c>
      <c r="C209" t="s">
        <v>522</v>
      </c>
      <c r="D209" t="s">
        <v>8</v>
      </c>
      <c r="E209">
        <f>IF(D209="No", "Priority 1", IF(C209&gt;B209, "Priority 2", "None"))</f>
        <v>0</v>
      </c>
    </row>
    <row r="210" spans="1:5">
      <c r="A210" t="s">
        <v>523</v>
      </c>
      <c r="B210" t="s">
        <v>524</v>
      </c>
      <c r="C210" t="s">
        <v>525</v>
      </c>
      <c r="D210" t="s">
        <v>8</v>
      </c>
      <c r="E210">
        <f>IF(D210="No", "Priority 1", IF(C210&gt;B210, "Priority 2", "None"))</f>
        <v>0</v>
      </c>
    </row>
    <row r="211" spans="1:5">
      <c r="A211" t="s">
        <v>526</v>
      </c>
      <c r="B211" t="s">
        <v>527</v>
      </c>
      <c r="C211" t="s">
        <v>527</v>
      </c>
      <c r="D211" t="s">
        <v>8</v>
      </c>
      <c r="E211">
        <f>IF(D211="No", "Priority 1", IF(C211&gt;B211, "Priority 2", "None"))</f>
        <v>0</v>
      </c>
    </row>
    <row r="212" spans="1:5">
      <c r="A212" t="s">
        <v>528</v>
      </c>
      <c r="B212" t="s">
        <v>529</v>
      </c>
      <c r="C212" t="s">
        <v>529</v>
      </c>
      <c r="D212" t="s">
        <v>8</v>
      </c>
      <c r="E212">
        <f>IF(D212="No", "Priority 1", IF(C212&gt;B212, "Priority 2", "None"))</f>
        <v>0</v>
      </c>
    </row>
    <row r="213" spans="1:5">
      <c r="A213" t="s">
        <v>187</v>
      </c>
      <c r="B213" t="s">
        <v>530</v>
      </c>
      <c r="C213" t="s">
        <v>531</v>
      </c>
      <c r="D213" t="s">
        <v>8</v>
      </c>
      <c r="E213">
        <f>IF(D213="No", "Priority 1", IF(C213&gt;B213, "Priority 2", "None"))</f>
        <v>0</v>
      </c>
    </row>
    <row r="214" spans="1:5">
      <c r="A214" t="s">
        <v>532</v>
      </c>
      <c r="B214" t="s">
        <v>533</v>
      </c>
      <c r="C214" t="s">
        <v>524</v>
      </c>
      <c r="D214" t="s">
        <v>8</v>
      </c>
      <c r="E214">
        <f>IF(D214="No", "Priority 1", IF(C214&gt;B214, "Priority 2", "None"))</f>
        <v>0</v>
      </c>
    </row>
    <row r="215" spans="1:5">
      <c r="A215" t="s">
        <v>534</v>
      </c>
      <c r="B215" t="s">
        <v>535</v>
      </c>
      <c r="C215" t="s">
        <v>536</v>
      </c>
      <c r="D215" t="s">
        <v>8</v>
      </c>
      <c r="E215">
        <f>IF(D215="No", "Priority 1", IF(C215&gt;B215, "Priority 2", "None"))</f>
        <v>0</v>
      </c>
    </row>
    <row r="216" spans="1:5">
      <c r="A216" t="s">
        <v>537</v>
      </c>
      <c r="B216" t="s">
        <v>520</v>
      </c>
      <c r="C216" t="s">
        <v>513</v>
      </c>
      <c r="D216" t="s">
        <v>8</v>
      </c>
      <c r="E216">
        <f>IF(D216="No", "Priority 1", IF(C216&gt;B216, "Priority 2", "None"))</f>
        <v>0</v>
      </c>
    </row>
    <row r="217" spans="1:5">
      <c r="A217" t="s">
        <v>538</v>
      </c>
      <c r="B217" t="s">
        <v>520</v>
      </c>
      <c r="C217" t="s">
        <v>539</v>
      </c>
      <c r="D217" t="s">
        <v>8</v>
      </c>
      <c r="E217">
        <f>IF(D217="No", "Priority 1", IF(C217&gt;B217, "Priority 2", "None"))</f>
        <v>0</v>
      </c>
    </row>
    <row r="218" spans="1:5">
      <c r="A218" t="s">
        <v>540</v>
      </c>
      <c r="B218" t="s">
        <v>541</v>
      </c>
      <c r="C218" t="s">
        <v>542</v>
      </c>
      <c r="D218" t="s">
        <v>8</v>
      </c>
      <c r="E218">
        <f>IF(D218="No", "Priority 1", IF(C218&gt;B218, "Priority 2", "None"))</f>
        <v>0</v>
      </c>
    </row>
    <row r="219" spans="1:5">
      <c r="A219" t="s">
        <v>543</v>
      </c>
      <c r="B219" t="s">
        <v>544</v>
      </c>
      <c r="C219" t="s">
        <v>545</v>
      </c>
      <c r="D219" t="s">
        <v>8</v>
      </c>
      <c r="E219">
        <f>IF(D219="No", "Priority 1", IF(C219&gt;B219, "Priority 2", "None"))</f>
        <v>0</v>
      </c>
    </row>
    <row r="220" spans="1:5">
      <c r="A220" t="s">
        <v>546</v>
      </c>
      <c r="B220" t="s">
        <v>547</v>
      </c>
      <c r="C220" t="s">
        <v>548</v>
      </c>
      <c r="D220" t="s">
        <v>8</v>
      </c>
      <c r="E220">
        <f>IF(D220="No", "Priority 1", IF(C220&gt;B220, "Priority 2", "None"))</f>
        <v>0</v>
      </c>
    </row>
    <row r="221" spans="1:5">
      <c r="A221" t="s">
        <v>549</v>
      </c>
      <c r="B221" t="s">
        <v>544</v>
      </c>
      <c r="C221" t="s">
        <v>550</v>
      </c>
      <c r="D221" t="s">
        <v>8</v>
      </c>
      <c r="E221">
        <f>IF(D221="No", "Priority 1", IF(C221&gt;B221, "Priority 2", "None"))</f>
        <v>0</v>
      </c>
    </row>
    <row r="222" spans="1:5">
      <c r="A222" t="s">
        <v>551</v>
      </c>
      <c r="B222" t="s">
        <v>545</v>
      </c>
      <c r="C222" t="s">
        <v>545</v>
      </c>
      <c r="D222" t="s">
        <v>8</v>
      </c>
      <c r="E222">
        <f>IF(D222="No", "Priority 1", IF(C222&gt;B222, "Priority 2", "None"))</f>
        <v>0</v>
      </c>
    </row>
    <row r="223" spans="1:5">
      <c r="A223" t="s">
        <v>552</v>
      </c>
      <c r="B223" t="s">
        <v>553</v>
      </c>
      <c r="C223" t="s">
        <v>553</v>
      </c>
      <c r="D223" t="s">
        <v>8</v>
      </c>
      <c r="E223">
        <f>IF(D223="No", "Priority 1", IF(C223&gt;B223, "Priority 2", "None"))</f>
        <v>0</v>
      </c>
    </row>
    <row r="224" spans="1:5">
      <c r="A224" t="s">
        <v>554</v>
      </c>
      <c r="B224" t="s">
        <v>555</v>
      </c>
      <c r="C224" t="s">
        <v>556</v>
      </c>
      <c r="D224" t="s">
        <v>8</v>
      </c>
      <c r="E224">
        <f>IF(D224="No", "Priority 1", IF(C224&gt;B224, "Priority 2", "None"))</f>
        <v>0</v>
      </c>
    </row>
    <row r="225" spans="1:5">
      <c r="A225" t="s">
        <v>557</v>
      </c>
      <c r="B225" t="s">
        <v>550</v>
      </c>
      <c r="C225" t="s">
        <v>545</v>
      </c>
      <c r="D225" t="s">
        <v>8</v>
      </c>
      <c r="E225">
        <f>IF(D225="No", "Priority 1", IF(C225&gt;B225, "Priority 2", "None"))</f>
        <v>0</v>
      </c>
    </row>
    <row r="226" spans="1:5">
      <c r="A226" t="s">
        <v>558</v>
      </c>
      <c r="B226" t="s">
        <v>553</v>
      </c>
      <c r="C226" t="s">
        <v>553</v>
      </c>
      <c r="D226" t="s">
        <v>8</v>
      </c>
      <c r="E226">
        <f>IF(D226="No", "Priority 1", IF(C226&gt;B226, "Priority 2", "None"))</f>
        <v>0</v>
      </c>
    </row>
    <row r="227" spans="1:5">
      <c r="A227" t="s">
        <v>559</v>
      </c>
      <c r="B227" t="s">
        <v>560</v>
      </c>
      <c r="C227" t="s">
        <v>561</v>
      </c>
      <c r="D227" t="s">
        <v>8</v>
      </c>
      <c r="E227">
        <f>IF(D227="No", "Priority 1", IF(C227&gt;B227, "Priority 2", "None"))</f>
        <v>0</v>
      </c>
    </row>
    <row r="228" spans="1:5">
      <c r="A228" t="s">
        <v>562</v>
      </c>
      <c r="B228" t="s">
        <v>561</v>
      </c>
      <c r="C228" t="s">
        <v>563</v>
      </c>
      <c r="D228" t="s">
        <v>8</v>
      </c>
      <c r="E228">
        <f>IF(D228="No", "Priority 1", IF(C228&gt;B228, "Priority 2", "None"))</f>
        <v>0</v>
      </c>
    </row>
    <row r="229" spans="1:5">
      <c r="A229" t="s">
        <v>564</v>
      </c>
      <c r="B229" t="s">
        <v>565</v>
      </c>
      <c r="C229" t="s">
        <v>560</v>
      </c>
      <c r="D229" t="s">
        <v>8</v>
      </c>
      <c r="E229">
        <f>IF(D229="No", "Priority 1", IF(C229&gt;B229, "Priority 2", "None"))</f>
        <v>0</v>
      </c>
    </row>
    <row r="230" spans="1:5">
      <c r="A230" t="s">
        <v>566</v>
      </c>
      <c r="B230" t="s">
        <v>567</v>
      </c>
      <c r="C230" t="s">
        <v>568</v>
      </c>
      <c r="D230" t="s">
        <v>8</v>
      </c>
      <c r="E230">
        <f>IF(D230="No", "Priority 1", IF(C230&gt;B230, "Priority 2", "None"))</f>
        <v>0</v>
      </c>
    </row>
    <row r="231" spans="1:5">
      <c r="A231" t="s">
        <v>569</v>
      </c>
      <c r="B231" t="s">
        <v>570</v>
      </c>
      <c r="C231" t="s">
        <v>571</v>
      </c>
      <c r="D231" t="s">
        <v>8</v>
      </c>
      <c r="E231">
        <f>IF(D231="No", "Priority 1", IF(C231&gt;B231, "Priority 2", "None"))</f>
        <v>0</v>
      </c>
    </row>
    <row r="232" spans="1:5">
      <c r="A232" t="s">
        <v>572</v>
      </c>
      <c r="B232" t="s">
        <v>573</v>
      </c>
      <c r="C232" t="s">
        <v>574</v>
      </c>
      <c r="D232" t="s">
        <v>8</v>
      </c>
      <c r="E232">
        <f>IF(D232="No", "Priority 1", IF(C232&gt;B232, "Priority 2", "None"))</f>
        <v>0</v>
      </c>
    </row>
    <row r="233" spans="1:5">
      <c r="A233" t="s">
        <v>120</v>
      </c>
      <c r="B233" t="s">
        <v>567</v>
      </c>
      <c r="C233" t="s">
        <v>567</v>
      </c>
      <c r="D233" t="s">
        <v>8</v>
      </c>
      <c r="E233">
        <f>IF(D233="No", "Priority 1", IF(C233&gt;B233, "Priority 2", "None"))</f>
        <v>0</v>
      </c>
    </row>
    <row r="234" spans="1:5">
      <c r="A234" t="s">
        <v>575</v>
      </c>
      <c r="B234" t="s">
        <v>576</v>
      </c>
      <c r="C234" t="s">
        <v>577</v>
      </c>
      <c r="D234" t="s">
        <v>8</v>
      </c>
      <c r="E234">
        <f>IF(D234="No", "Priority 1", IF(C234&gt;B234, "Priority 2", "None"))</f>
        <v>0</v>
      </c>
    </row>
    <row r="235" spans="1:5">
      <c r="A235" t="s">
        <v>65</v>
      </c>
      <c r="B235" t="s">
        <v>578</v>
      </c>
      <c r="C235" t="s">
        <v>579</v>
      </c>
      <c r="D235" t="s">
        <v>8</v>
      </c>
      <c r="E235">
        <f>IF(D235="No", "Priority 1", IF(C235&gt;B235, "Priority 2", "None"))</f>
        <v>0</v>
      </c>
    </row>
    <row r="236" spans="1:5">
      <c r="A236" t="s">
        <v>580</v>
      </c>
      <c r="B236" t="s">
        <v>579</v>
      </c>
      <c r="C236" t="s">
        <v>581</v>
      </c>
      <c r="D236" t="s">
        <v>8</v>
      </c>
      <c r="E236">
        <f>IF(D236="No", "Priority 1", IF(C236&gt;B236, "Priority 2", "None"))</f>
        <v>0</v>
      </c>
    </row>
    <row r="237" spans="1:5">
      <c r="A237" t="s">
        <v>582</v>
      </c>
      <c r="B237" t="s">
        <v>583</v>
      </c>
      <c r="C237" t="s">
        <v>584</v>
      </c>
      <c r="D237" t="s">
        <v>8</v>
      </c>
      <c r="E237">
        <f>IF(D237="No", "Priority 1", IF(C237&gt;B237, "Priority 2", "None"))</f>
        <v>0</v>
      </c>
    </row>
    <row r="238" spans="1:5">
      <c r="A238" t="s">
        <v>585</v>
      </c>
      <c r="B238" t="s">
        <v>586</v>
      </c>
      <c r="C238" t="s">
        <v>578</v>
      </c>
      <c r="D238" t="s">
        <v>8</v>
      </c>
      <c r="E238">
        <f>IF(D238="No", "Priority 1", IF(C238&gt;B238, "Priority 2", "None"))</f>
        <v>0</v>
      </c>
    </row>
    <row r="239" spans="1:5">
      <c r="A239" t="s">
        <v>587</v>
      </c>
      <c r="B239" t="s">
        <v>579</v>
      </c>
      <c r="C239" t="s">
        <v>588</v>
      </c>
      <c r="D239" t="s">
        <v>8</v>
      </c>
      <c r="E239">
        <f>IF(D239="No", "Priority 1", IF(C239&gt;B239, "Priority 2", "None"))</f>
        <v>0</v>
      </c>
    </row>
    <row r="240" spans="1:5">
      <c r="A240" t="s">
        <v>589</v>
      </c>
      <c r="B240" t="s">
        <v>579</v>
      </c>
      <c r="C240" t="s">
        <v>581</v>
      </c>
      <c r="D240" t="s">
        <v>8</v>
      </c>
      <c r="E240">
        <f>IF(D240="No", "Priority 1", IF(C240&gt;B240, "Priority 2", "None"))</f>
        <v>0</v>
      </c>
    </row>
    <row r="241" spans="1:5">
      <c r="A241" t="s">
        <v>379</v>
      </c>
      <c r="B241" t="s">
        <v>590</v>
      </c>
      <c r="C241" t="s">
        <v>591</v>
      </c>
      <c r="D241" t="s">
        <v>8</v>
      </c>
      <c r="E241">
        <f>IF(D241="No", "Priority 1", IF(C241&gt;B241, "Priority 2", "None"))</f>
        <v>0</v>
      </c>
    </row>
    <row r="242" spans="1:5">
      <c r="A242" t="s">
        <v>592</v>
      </c>
      <c r="B242" t="s">
        <v>593</v>
      </c>
      <c r="C242" t="s">
        <v>594</v>
      </c>
      <c r="D242" t="s">
        <v>8</v>
      </c>
      <c r="E242">
        <f>IF(D242="No", "Priority 1", IF(C242&gt;B242, "Priority 2", "None"))</f>
        <v>0</v>
      </c>
    </row>
    <row r="243" spans="1:5">
      <c r="A243" t="s">
        <v>595</v>
      </c>
      <c r="B243" t="s">
        <v>596</v>
      </c>
      <c r="C243" t="s">
        <v>597</v>
      </c>
      <c r="D243" t="s">
        <v>8</v>
      </c>
      <c r="E243">
        <f>IF(D243="No", "Priority 1", IF(C243&gt;B243, "Priority 2", "None"))</f>
        <v>0</v>
      </c>
    </row>
    <row r="244" spans="1:5">
      <c r="A244" t="s">
        <v>598</v>
      </c>
      <c r="B244" t="s">
        <v>599</v>
      </c>
      <c r="C244" t="s">
        <v>600</v>
      </c>
      <c r="D244" t="s">
        <v>8</v>
      </c>
      <c r="E244">
        <f>IF(D244="No", "Priority 1", IF(C244&gt;B244, "Priority 2", "None"))</f>
        <v>0</v>
      </c>
    </row>
    <row r="245" spans="1:5">
      <c r="A245" t="s">
        <v>601</v>
      </c>
      <c r="B245" t="s">
        <v>602</v>
      </c>
      <c r="C245" t="s">
        <v>603</v>
      </c>
      <c r="D245" t="s">
        <v>8</v>
      </c>
      <c r="E245">
        <f>IF(D245="No", "Priority 1", IF(C245&gt;B245, "Priority 2", "None"))</f>
        <v>0</v>
      </c>
    </row>
    <row r="246" spans="1:5">
      <c r="A246" t="s">
        <v>323</v>
      </c>
      <c r="B246" t="s">
        <v>602</v>
      </c>
      <c r="C246" t="s">
        <v>604</v>
      </c>
      <c r="D246" t="s">
        <v>8</v>
      </c>
      <c r="E246">
        <f>IF(D246="No", "Priority 1", IF(C246&gt;B246, "Priority 2", "None"))</f>
        <v>0</v>
      </c>
    </row>
    <row r="247" spans="1:5">
      <c r="A247" t="s">
        <v>605</v>
      </c>
      <c r="B247" t="s">
        <v>606</v>
      </c>
      <c r="C247" t="s">
        <v>607</v>
      </c>
      <c r="D247" t="s">
        <v>8</v>
      </c>
      <c r="E247">
        <f>IF(D247="No", "Priority 1", IF(C247&gt;B247, "Priority 2", "None"))</f>
        <v>0</v>
      </c>
    </row>
    <row r="248" spans="1:5">
      <c r="A248" t="s">
        <v>608</v>
      </c>
      <c r="B248" t="s">
        <v>609</v>
      </c>
      <c r="C248" t="s">
        <v>610</v>
      </c>
      <c r="D248" t="s">
        <v>8</v>
      </c>
      <c r="E248">
        <f>IF(D248="No", "Priority 1", IF(C248&gt;B248, "Priority 2", "None"))</f>
        <v>0</v>
      </c>
    </row>
    <row r="249" spans="1:5">
      <c r="A249" t="s">
        <v>611</v>
      </c>
      <c r="B249" t="s">
        <v>612</v>
      </c>
      <c r="C249" t="s">
        <v>613</v>
      </c>
      <c r="D249" t="s">
        <v>8</v>
      </c>
      <c r="E249">
        <f>IF(D249="No", "Priority 1", IF(C249&gt;B249, "Priority 2", "None"))</f>
        <v>0</v>
      </c>
    </row>
    <row r="250" spans="1:5">
      <c r="A250" t="s">
        <v>614</v>
      </c>
      <c r="B250" t="s">
        <v>612</v>
      </c>
      <c r="C250" t="s">
        <v>615</v>
      </c>
      <c r="D250" t="s">
        <v>8</v>
      </c>
      <c r="E250">
        <f>IF(D250="No", "Priority 1", IF(C250&gt;B250, "Priority 2", "None"))</f>
        <v>0</v>
      </c>
    </row>
    <row r="251" spans="1:5">
      <c r="A251" t="s">
        <v>616</v>
      </c>
      <c r="B251" t="s">
        <v>617</v>
      </c>
      <c r="C251" t="s">
        <v>618</v>
      </c>
      <c r="D251" t="s">
        <v>8</v>
      </c>
      <c r="E251">
        <f>IF(D251="No", "Priority 1", IF(C251&gt;B251, "Priority 2", "None"))</f>
        <v>0</v>
      </c>
    </row>
    <row r="252" spans="1:5">
      <c r="A252" t="s">
        <v>619</v>
      </c>
      <c r="B252" t="s">
        <v>620</v>
      </c>
      <c r="C252" t="s">
        <v>621</v>
      </c>
      <c r="D252" t="s">
        <v>8</v>
      </c>
      <c r="E252">
        <f>IF(D252="No", "Priority 1", IF(C252&gt;B252, "Priority 2", "None"))</f>
        <v>0</v>
      </c>
    </row>
    <row r="253" spans="1:5">
      <c r="A253" t="s">
        <v>622</v>
      </c>
      <c r="B253" t="s">
        <v>623</v>
      </c>
      <c r="C253" t="s">
        <v>624</v>
      </c>
      <c r="D253" t="s">
        <v>8</v>
      </c>
      <c r="E253">
        <f>IF(D253="No", "Priority 1", IF(C253&gt;B253, "Priority 2", "None"))</f>
        <v>0</v>
      </c>
    </row>
    <row r="254" spans="1:5">
      <c r="A254" t="s">
        <v>625</v>
      </c>
      <c r="B254" t="s">
        <v>617</v>
      </c>
      <c r="C254" t="s">
        <v>626</v>
      </c>
      <c r="D254" t="s">
        <v>8</v>
      </c>
      <c r="E254">
        <f>IF(D254="No", "Priority 1", IF(C254&gt;B254, "Priority 2", "None"))</f>
        <v>0</v>
      </c>
    </row>
    <row r="255" spans="1:5">
      <c r="A255" t="s">
        <v>627</v>
      </c>
      <c r="B255" t="s">
        <v>617</v>
      </c>
      <c r="C255" t="s">
        <v>617</v>
      </c>
      <c r="D255" t="s">
        <v>8</v>
      </c>
      <c r="E255">
        <f>IF(D255="No", "Priority 1", IF(C255&gt;B255, "Priority 2", "None"))</f>
        <v>0</v>
      </c>
    </row>
    <row r="256" spans="1:5">
      <c r="A256" t="s">
        <v>78</v>
      </c>
      <c r="B256" t="s">
        <v>628</v>
      </c>
      <c r="C256" t="s">
        <v>629</v>
      </c>
      <c r="D256" t="s">
        <v>8</v>
      </c>
      <c r="E256">
        <f>IF(D256="No", "Priority 1", IF(C256&gt;B256, "Priority 2", "None"))</f>
        <v>0</v>
      </c>
    </row>
    <row r="257" spans="1:5">
      <c r="A257" t="s">
        <v>630</v>
      </c>
      <c r="B257" t="s">
        <v>631</v>
      </c>
      <c r="C257" t="s">
        <v>632</v>
      </c>
      <c r="D257" t="s">
        <v>8</v>
      </c>
      <c r="E257">
        <f>IF(D257="No", "Priority 1", IF(C257&gt;B257, "Priority 2", "None"))</f>
        <v>0</v>
      </c>
    </row>
    <row r="258" spans="1:5">
      <c r="A258" t="s">
        <v>633</v>
      </c>
      <c r="B258" t="s">
        <v>634</v>
      </c>
      <c r="C258" t="s">
        <v>635</v>
      </c>
      <c r="D258" t="s">
        <v>8</v>
      </c>
      <c r="E258">
        <f>IF(D258="No", "Priority 1", IF(C258&gt;B258, "Priority 2", "None"))</f>
        <v>0</v>
      </c>
    </row>
    <row r="259" spans="1:5">
      <c r="A259" t="s">
        <v>636</v>
      </c>
      <c r="B259" t="s">
        <v>637</v>
      </c>
      <c r="C259" t="s">
        <v>638</v>
      </c>
      <c r="D259" t="s">
        <v>8</v>
      </c>
      <c r="E259">
        <f>IF(D259="No", "Priority 1", IF(C259&gt;B259, "Priority 2", "None"))</f>
        <v>0</v>
      </c>
    </row>
    <row r="260" spans="1:5">
      <c r="A260" t="s">
        <v>639</v>
      </c>
      <c r="B260" t="s">
        <v>640</v>
      </c>
      <c r="C260" t="s">
        <v>635</v>
      </c>
      <c r="D260" t="s">
        <v>8</v>
      </c>
      <c r="E260">
        <f>IF(D260="No", "Priority 1", IF(C260&gt;B260, "Priority 2", "None"))</f>
        <v>0</v>
      </c>
    </row>
    <row r="261" spans="1:5">
      <c r="A261" t="s">
        <v>641</v>
      </c>
      <c r="B261" t="s">
        <v>637</v>
      </c>
      <c r="C261" t="s">
        <v>642</v>
      </c>
      <c r="D261" t="s">
        <v>8</v>
      </c>
      <c r="E261">
        <f>IF(D261="No", "Priority 1", IF(C261&gt;B261, "Priority 2", "None"))</f>
        <v>0</v>
      </c>
    </row>
    <row r="262" spans="1:5">
      <c r="A262" t="s">
        <v>643</v>
      </c>
      <c r="B262" t="s">
        <v>635</v>
      </c>
      <c r="C262" t="s">
        <v>644</v>
      </c>
      <c r="D262" t="s">
        <v>8</v>
      </c>
      <c r="E262">
        <f>IF(D262="No", "Priority 1", IF(C262&gt;B262, "Priority 2", "None"))</f>
        <v>0</v>
      </c>
    </row>
    <row r="263" spans="1:5">
      <c r="A263" t="s">
        <v>645</v>
      </c>
      <c r="B263" t="s">
        <v>646</v>
      </c>
      <c r="C263" t="s">
        <v>647</v>
      </c>
      <c r="D263" t="s">
        <v>8</v>
      </c>
      <c r="E263">
        <f>IF(D263="No", "Priority 1", IF(C263&gt;B263, "Priority 2", "None"))</f>
        <v>0</v>
      </c>
    </row>
    <row r="264" spans="1:5">
      <c r="A264" t="s">
        <v>648</v>
      </c>
      <c r="B264" t="s">
        <v>649</v>
      </c>
      <c r="C264" t="s">
        <v>650</v>
      </c>
      <c r="D264" t="s">
        <v>8</v>
      </c>
      <c r="E264">
        <f>IF(D264="No", "Priority 1", IF(C264&gt;B264, "Priority 2", "None"))</f>
        <v>0</v>
      </c>
    </row>
    <row r="265" spans="1:5">
      <c r="A265" t="s">
        <v>651</v>
      </c>
      <c r="B265" t="s">
        <v>652</v>
      </c>
      <c r="C265" t="s">
        <v>649</v>
      </c>
      <c r="D265" t="s">
        <v>8</v>
      </c>
      <c r="E265">
        <f>IF(D265="No", "Priority 1", IF(C265&gt;B265, "Priority 2", "None"))</f>
        <v>0</v>
      </c>
    </row>
    <row r="266" spans="1:5">
      <c r="A266" t="s">
        <v>653</v>
      </c>
      <c r="B266" t="s">
        <v>646</v>
      </c>
      <c r="C266" t="s">
        <v>649</v>
      </c>
      <c r="D266" t="s">
        <v>8</v>
      </c>
      <c r="E266">
        <f>IF(D266="No", "Priority 1", IF(C266&gt;B266, "Priority 2", "None"))</f>
        <v>0</v>
      </c>
    </row>
    <row r="267" spans="1:5">
      <c r="A267" t="s">
        <v>654</v>
      </c>
      <c r="B267" t="s">
        <v>649</v>
      </c>
      <c r="C267" t="s">
        <v>650</v>
      </c>
      <c r="D267" t="s">
        <v>8</v>
      </c>
      <c r="E267">
        <f>IF(D267="No", "Priority 1", IF(C267&gt;B267, "Priority 2", "None"))</f>
        <v>0</v>
      </c>
    </row>
    <row r="268" spans="1:5">
      <c r="A268" t="s">
        <v>655</v>
      </c>
      <c r="B268" t="s">
        <v>656</v>
      </c>
      <c r="C268" t="s">
        <v>656</v>
      </c>
      <c r="D268" t="s">
        <v>8</v>
      </c>
      <c r="E268">
        <f>IF(D268="No", "Priority 1", IF(C268&gt;B268, "Priority 2", "None"))</f>
        <v>0</v>
      </c>
    </row>
    <row r="269" spans="1:5">
      <c r="A269" t="s">
        <v>657</v>
      </c>
      <c r="B269" t="s">
        <v>658</v>
      </c>
      <c r="C269" t="s">
        <v>659</v>
      </c>
      <c r="D269" t="s">
        <v>8</v>
      </c>
      <c r="E269">
        <f>IF(D269="No", "Priority 1", IF(C269&gt;B269, "Priority 2", "None"))</f>
        <v>0</v>
      </c>
    </row>
    <row r="270" spans="1:5">
      <c r="A270" t="s">
        <v>660</v>
      </c>
      <c r="B270" t="s">
        <v>661</v>
      </c>
      <c r="C270" t="s">
        <v>662</v>
      </c>
      <c r="D270" t="s">
        <v>8</v>
      </c>
      <c r="E270">
        <f>IF(D270="No", "Priority 1", IF(C270&gt;B270, "Priority 2", "None"))</f>
        <v>0</v>
      </c>
    </row>
    <row r="271" spans="1:5">
      <c r="A271" t="s">
        <v>663</v>
      </c>
      <c r="B271" t="s">
        <v>664</v>
      </c>
      <c r="C271" t="s">
        <v>665</v>
      </c>
      <c r="D271" t="s">
        <v>8</v>
      </c>
      <c r="E271">
        <f>IF(D271="No", "Priority 1", IF(C271&gt;B271, "Priority 2", "None"))</f>
        <v>0</v>
      </c>
    </row>
    <row r="272" spans="1:5">
      <c r="A272" t="s">
        <v>140</v>
      </c>
      <c r="B272" t="s">
        <v>666</v>
      </c>
      <c r="C272" t="s">
        <v>667</v>
      </c>
      <c r="D272" t="s">
        <v>8</v>
      </c>
      <c r="E272">
        <f>IF(D272="No", "Priority 1", IF(C272&gt;B272, "Priority 2", "None"))</f>
        <v>0</v>
      </c>
    </row>
    <row r="273" spans="1:5">
      <c r="A273" t="s">
        <v>668</v>
      </c>
      <c r="B273" t="s">
        <v>647</v>
      </c>
      <c r="C273" t="s">
        <v>652</v>
      </c>
      <c r="D273" t="s">
        <v>8</v>
      </c>
      <c r="E273">
        <f>IF(D273="No", "Priority 1", IF(C273&gt;B273, "Priority 2", "None"))</f>
        <v>0</v>
      </c>
    </row>
    <row r="274" spans="1:5">
      <c r="A274" t="s">
        <v>669</v>
      </c>
      <c r="B274" t="s">
        <v>670</v>
      </c>
      <c r="C274" t="s">
        <v>650</v>
      </c>
      <c r="D274" t="s">
        <v>8</v>
      </c>
      <c r="E274">
        <f>IF(D274="No", "Priority 1", IF(C274&gt;B274, "Priority 2", "None"))</f>
        <v>0</v>
      </c>
    </row>
    <row r="275" spans="1:5">
      <c r="A275" t="s">
        <v>671</v>
      </c>
      <c r="B275" t="s">
        <v>672</v>
      </c>
      <c r="C275" t="s">
        <v>672</v>
      </c>
      <c r="D275" t="s">
        <v>8</v>
      </c>
      <c r="E275">
        <f>IF(D275="No", "Priority 1", IF(C275&gt;B275, "Priority 2", "None"))</f>
        <v>0</v>
      </c>
    </row>
    <row r="276" spans="1:5">
      <c r="A276" t="s">
        <v>673</v>
      </c>
      <c r="B276" t="s">
        <v>674</v>
      </c>
      <c r="C276" t="s">
        <v>672</v>
      </c>
      <c r="D276" t="s">
        <v>8</v>
      </c>
      <c r="E276">
        <f>IF(D276="No", "Priority 1", IF(C276&gt;B276, "Priority 2", "None"))</f>
        <v>0</v>
      </c>
    </row>
    <row r="277" spans="1:5">
      <c r="A277" t="s">
        <v>675</v>
      </c>
      <c r="B277" t="s">
        <v>676</v>
      </c>
      <c r="C277" t="s">
        <v>677</v>
      </c>
      <c r="D277" t="s">
        <v>8</v>
      </c>
      <c r="E277">
        <f>IF(D277="No", "Priority 1", IF(C277&gt;B277, "Priority 2", "None"))</f>
        <v>0</v>
      </c>
    </row>
    <row r="278" spans="1:5">
      <c r="A278" t="s">
        <v>678</v>
      </c>
      <c r="B278" t="s">
        <v>679</v>
      </c>
      <c r="C278" t="s">
        <v>679</v>
      </c>
      <c r="D278" t="s">
        <v>8</v>
      </c>
      <c r="E278">
        <f>IF(D278="No", "Priority 1", IF(C278&gt;B278, "Priority 2", "None"))</f>
        <v>0</v>
      </c>
    </row>
    <row r="279" spans="1:5">
      <c r="A279" t="s">
        <v>680</v>
      </c>
      <c r="B279" t="s">
        <v>681</v>
      </c>
      <c r="C279" t="s">
        <v>682</v>
      </c>
      <c r="D279" t="s">
        <v>8</v>
      </c>
      <c r="E279">
        <f>IF(D279="No", "Priority 1", IF(C279&gt;B279, "Priority 2", "None"))</f>
        <v>0</v>
      </c>
    </row>
    <row r="280" spans="1:5">
      <c r="A280" t="s">
        <v>683</v>
      </c>
      <c r="B280" t="s">
        <v>684</v>
      </c>
      <c r="C280" t="s">
        <v>685</v>
      </c>
      <c r="D280" t="s">
        <v>8</v>
      </c>
      <c r="E280">
        <f>IF(D280="No", "Priority 1", IF(C280&gt;B280, "Priority 2", "None"))</f>
        <v>0</v>
      </c>
    </row>
    <row r="281" spans="1:5">
      <c r="A281" t="s">
        <v>686</v>
      </c>
      <c r="B281" t="s">
        <v>687</v>
      </c>
      <c r="C281" t="s">
        <v>688</v>
      </c>
      <c r="D281" t="s">
        <v>8</v>
      </c>
      <c r="E281">
        <f>IF(D281="No", "Priority 1", IF(C281&gt;B281, "Priority 2", "None"))</f>
        <v>0</v>
      </c>
    </row>
    <row r="282" spans="1:5">
      <c r="A282" t="s">
        <v>689</v>
      </c>
      <c r="B282" t="s">
        <v>676</v>
      </c>
      <c r="C282" t="s">
        <v>690</v>
      </c>
      <c r="D282" t="s">
        <v>8</v>
      </c>
      <c r="E282">
        <f>IF(D282="No", "Priority 1", IF(C282&gt;B282, "Priority 2", "None"))</f>
        <v>0</v>
      </c>
    </row>
    <row r="283" spans="1:5">
      <c r="A283" t="s">
        <v>691</v>
      </c>
      <c r="B283" t="s">
        <v>684</v>
      </c>
      <c r="C283" t="s">
        <v>685</v>
      </c>
      <c r="D283" t="s">
        <v>8</v>
      </c>
      <c r="E283">
        <f>IF(D283="No", "Priority 1", IF(C283&gt;B283, "Priority 2", "None"))</f>
        <v>0</v>
      </c>
    </row>
    <row r="284" spans="1:5">
      <c r="A284" t="s">
        <v>692</v>
      </c>
      <c r="B284" t="s">
        <v>693</v>
      </c>
      <c r="C284" t="s">
        <v>676</v>
      </c>
      <c r="D284" t="s">
        <v>8</v>
      </c>
      <c r="E284">
        <f>IF(D284="No", "Priority 1", IF(C284&gt;B284, "Priority 2", "None"))</f>
        <v>0</v>
      </c>
    </row>
    <row r="285" spans="1:5">
      <c r="A285" t="s">
        <v>694</v>
      </c>
      <c r="B285" t="s">
        <v>695</v>
      </c>
      <c r="C285" t="s">
        <v>687</v>
      </c>
      <c r="D285" t="s">
        <v>8</v>
      </c>
      <c r="E285">
        <f>IF(D285="No", "Priority 1", IF(C285&gt;B285, "Priority 2", "None"))</f>
        <v>0</v>
      </c>
    </row>
    <row r="286" spans="1:5">
      <c r="A286" t="s">
        <v>696</v>
      </c>
      <c r="B286" t="s">
        <v>697</v>
      </c>
      <c r="C286" t="s">
        <v>697</v>
      </c>
      <c r="D286" t="s">
        <v>8</v>
      </c>
      <c r="E286">
        <f>IF(D286="No", "Priority 1", IF(C286&gt;B286, "Priority 2", "None"))</f>
        <v>0</v>
      </c>
    </row>
    <row r="287" spans="1:5">
      <c r="A287" t="s">
        <v>698</v>
      </c>
      <c r="B287" t="s">
        <v>699</v>
      </c>
      <c r="C287" t="s">
        <v>700</v>
      </c>
      <c r="D287" t="s">
        <v>8</v>
      </c>
      <c r="E287">
        <f>IF(D287="No", "Priority 1", IF(C287&gt;B287, "Priority 2", "None"))</f>
        <v>0</v>
      </c>
    </row>
    <row r="288" spans="1:5">
      <c r="A288" t="s">
        <v>701</v>
      </c>
      <c r="B288" t="s">
        <v>702</v>
      </c>
      <c r="C288" t="s">
        <v>703</v>
      </c>
      <c r="D288" t="s">
        <v>8</v>
      </c>
      <c r="E288">
        <f>IF(D288="No", "Priority 1", IF(C288&gt;B288, "Priority 2", "None"))</f>
        <v>0</v>
      </c>
    </row>
    <row r="289" spans="1:5">
      <c r="A289" t="s">
        <v>704</v>
      </c>
      <c r="B289" t="s">
        <v>705</v>
      </c>
      <c r="C289" t="s">
        <v>705</v>
      </c>
      <c r="D289" t="s">
        <v>8</v>
      </c>
      <c r="E289">
        <f>IF(D289="No", "Priority 1", IF(C289&gt;B289, "Priority 2", "None"))</f>
        <v>0</v>
      </c>
    </row>
    <row r="290" spans="1:5">
      <c r="A290" t="s">
        <v>706</v>
      </c>
      <c r="B290" t="s">
        <v>707</v>
      </c>
      <c r="C290" t="s">
        <v>700</v>
      </c>
      <c r="D290" t="s">
        <v>8</v>
      </c>
      <c r="E290">
        <f>IF(D290="No", "Priority 1", IF(C290&gt;B290, "Priority 2", "None"))</f>
        <v>0</v>
      </c>
    </row>
    <row r="291" spans="1:5">
      <c r="A291" t="s">
        <v>708</v>
      </c>
      <c r="B291" t="s">
        <v>709</v>
      </c>
      <c r="C291" t="s">
        <v>710</v>
      </c>
      <c r="D291" t="s">
        <v>8</v>
      </c>
      <c r="E291">
        <f>IF(D291="No", "Priority 1", IF(C291&gt;B291, "Priority 2", "None"))</f>
        <v>0</v>
      </c>
    </row>
    <row r="292" spans="1:5">
      <c r="A292" t="s">
        <v>711</v>
      </c>
      <c r="B292" t="s">
        <v>712</v>
      </c>
      <c r="C292" t="s">
        <v>710</v>
      </c>
      <c r="D292" t="s">
        <v>8</v>
      </c>
      <c r="E292">
        <f>IF(D292="No", "Priority 1", IF(C292&gt;B292, "Priority 2", "None"))</f>
        <v>0</v>
      </c>
    </row>
    <row r="293" spans="1:5">
      <c r="A293" t="s">
        <v>713</v>
      </c>
      <c r="B293" t="s">
        <v>714</v>
      </c>
      <c r="C293" t="s">
        <v>715</v>
      </c>
      <c r="D293" t="s">
        <v>8</v>
      </c>
      <c r="E293">
        <f>IF(D293="No", "Priority 1", IF(C293&gt;B293, "Priority 2", "None"))</f>
        <v>0</v>
      </c>
    </row>
    <row r="294" spans="1:5">
      <c r="A294" t="s">
        <v>540</v>
      </c>
      <c r="B294" t="s">
        <v>712</v>
      </c>
      <c r="C294" t="s">
        <v>716</v>
      </c>
      <c r="D294" t="s">
        <v>8</v>
      </c>
      <c r="E294">
        <f>IF(D294="No", "Priority 1", IF(C294&gt;B294, "Priority 2", "None"))</f>
        <v>0</v>
      </c>
    </row>
    <row r="295" spans="1:5">
      <c r="A295" t="s">
        <v>717</v>
      </c>
      <c r="B295" t="s">
        <v>718</v>
      </c>
      <c r="C295" t="s">
        <v>715</v>
      </c>
      <c r="D295" t="s">
        <v>8</v>
      </c>
      <c r="E295">
        <f>IF(D295="No", "Priority 1", IF(C295&gt;B295, "Priority 2", "None"))</f>
        <v>0</v>
      </c>
    </row>
    <row r="296" spans="1:5">
      <c r="A296" t="s">
        <v>300</v>
      </c>
      <c r="B296" t="s">
        <v>719</v>
      </c>
      <c r="C296" t="s">
        <v>719</v>
      </c>
      <c r="D296" t="s">
        <v>8</v>
      </c>
      <c r="E296">
        <f>IF(D296="No", "Priority 1", IF(C296&gt;B296, "Priority 2", "None"))</f>
        <v>0</v>
      </c>
    </row>
    <row r="297" spans="1:5">
      <c r="A297" t="s">
        <v>720</v>
      </c>
      <c r="B297" t="s">
        <v>721</v>
      </c>
      <c r="C297" t="s">
        <v>722</v>
      </c>
      <c r="D297" t="s">
        <v>8</v>
      </c>
      <c r="E297">
        <f>IF(D297="No", "Priority 1", IF(C297&gt;B297, "Priority 2", "None"))</f>
        <v>0</v>
      </c>
    </row>
    <row r="298" spans="1:5">
      <c r="A298" t="s">
        <v>723</v>
      </c>
      <c r="B298" t="s">
        <v>724</v>
      </c>
      <c r="C298" t="s">
        <v>725</v>
      </c>
      <c r="D298" t="s">
        <v>8</v>
      </c>
      <c r="E298">
        <f>IF(D298="No", "Priority 1", IF(C298&gt;B298, "Priority 2", "None"))</f>
        <v>0</v>
      </c>
    </row>
    <row r="299" spans="1:5">
      <c r="A299" t="s">
        <v>726</v>
      </c>
      <c r="B299" t="s">
        <v>727</v>
      </c>
      <c r="C299" t="s">
        <v>728</v>
      </c>
      <c r="D299" t="s">
        <v>8</v>
      </c>
      <c r="E299">
        <f>IF(D299="No", "Priority 1", IF(C299&gt;B299, "Priority 2", "None"))</f>
        <v>0</v>
      </c>
    </row>
    <row r="300" spans="1:5">
      <c r="A300" t="s">
        <v>729</v>
      </c>
      <c r="B300" t="s">
        <v>730</v>
      </c>
      <c r="C300" t="s">
        <v>719</v>
      </c>
      <c r="D300" t="s">
        <v>8</v>
      </c>
      <c r="E300">
        <f>IF(D300="No", "Priority 1", IF(C300&gt;B300, "Priority 2", "None"))</f>
        <v>0</v>
      </c>
    </row>
    <row r="301" spans="1:5">
      <c r="A301" t="s">
        <v>731</v>
      </c>
      <c r="B301" t="s">
        <v>728</v>
      </c>
      <c r="C301" t="s">
        <v>732</v>
      </c>
      <c r="D301" t="s">
        <v>8</v>
      </c>
      <c r="E301">
        <f>IF(D301="No", "Priority 1", IF(C301&gt;B301, "Priority 2", "None"))</f>
        <v>0</v>
      </c>
    </row>
    <row r="302" spans="1:5">
      <c r="A302" t="s">
        <v>733</v>
      </c>
      <c r="B302" t="s">
        <v>732</v>
      </c>
      <c r="C302" t="s">
        <v>734</v>
      </c>
      <c r="D302" t="s">
        <v>8</v>
      </c>
      <c r="E302">
        <f>IF(D302="No", "Priority 1", IF(C302&gt;B302, "Priority 2", "None"))</f>
        <v>0</v>
      </c>
    </row>
    <row r="303" spans="1:5">
      <c r="A303" t="s">
        <v>735</v>
      </c>
      <c r="B303" t="s">
        <v>736</v>
      </c>
      <c r="C303" t="s">
        <v>719</v>
      </c>
      <c r="D303" t="s">
        <v>8</v>
      </c>
      <c r="E303">
        <f>IF(D303="No", "Priority 1", IF(C303&gt;B303, "Priority 2", "None"))</f>
        <v>0</v>
      </c>
    </row>
    <row r="304" spans="1:5">
      <c r="A304" t="s">
        <v>737</v>
      </c>
      <c r="B304" t="s">
        <v>724</v>
      </c>
      <c r="C304" t="s">
        <v>725</v>
      </c>
      <c r="D304" t="s">
        <v>8</v>
      </c>
      <c r="E304">
        <f>IF(D304="No", "Priority 1", IF(C304&gt;B304, "Priority 2", "None"))</f>
        <v>0</v>
      </c>
    </row>
    <row r="305" spans="1:5">
      <c r="A305" t="s">
        <v>738</v>
      </c>
      <c r="B305" t="s">
        <v>739</v>
      </c>
      <c r="C305" t="s">
        <v>732</v>
      </c>
      <c r="D305" t="s">
        <v>8</v>
      </c>
      <c r="E305">
        <f>IF(D305="No", "Priority 1", IF(C305&gt;B305, "Priority 2", "None"))</f>
        <v>0</v>
      </c>
    </row>
    <row r="306" spans="1:5">
      <c r="A306" t="s">
        <v>740</v>
      </c>
      <c r="B306" t="s">
        <v>74</v>
      </c>
      <c r="C306" t="s">
        <v>92</v>
      </c>
      <c r="D306" t="s">
        <v>322</v>
      </c>
      <c r="E306">
        <f>IF(D306="No", "Priority 1", IF(C306&gt;B306, "Priority 2", "None"))</f>
        <v>0</v>
      </c>
    </row>
    <row r="307" spans="1:5">
      <c r="A307" t="s">
        <v>741</v>
      </c>
      <c r="B307" t="s">
        <v>240</v>
      </c>
      <c r="C307" t="s">
        <v>742</v>
      </c>
      <c r="D307" t="s">
        <v>322</v>
      </c>
      <c r="E307">
        <f>IF(D307="No", "Priority 1", IF(C307&gt;B307, "Priority 2", "None"))</f>
        <v>0</v>
      </c>
    </row>
    <row r="308" spans="1:5">
      <c r="A308" t="s">
        <v>320</v>
      </c>
      <c r="B308" t="s">
        <v>743</v>
      </c>
      <c r="C308" t="s">
        <v>744</v>
      </c>
      <c r="D308" t="s">
        <v>322</v>
      </c>
      <c r="E308">
        <f>IF(D308="No", "Priority 1", IF(C308&gt;B308, "Priority 2", "None"))</f>
        <v>0</v>
      </c>
    </row>
    <row r="309" spans="1:5">
      <c r="A309" t="s">
        <v>745</v>
      </c>
      <c r="B309" t="s">
        <v>746</v>
      </c>
      <c r="C309" t="s">
        <v>747</v>
      </c>
      <c r="D309" t="s">
        <v>322</v>
      </c>
      <c r="E309">
        <f>IF(D309="No", "Priority 1", IF(C309&gt;B309, "Priority 2", "None"))</f>
        <v>0</v>
      </c>
    </row>
    <row r="310" spans="1:5">
      <c r="A310" t="s">
        <v>748</v>
      </c>
      <c r="B310" t="s">
        <v>560</v>
      </c>
      <c r="C310" t="s">
        <v>561</v>
      </c>
      <c r="D310" t="s">
        <v>322</v>
      </c>
      <c r="E310">
        <f>IF(D310="No", "Priority 1", IF(C310&gt;B310, "Priority 2", "None"))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2"/>
  <sheetViews>
    <sheetView workbookViewId="0"/>
  </sheetViews>
  <sheetFormatPr defaultRowHeight="15"/>
  <cols>
    <col min="1" max="5" width="18.7109375" customWidth="1"/>
  </cols>
  <sheetData>
    <row r="1" spans="1:5">
      <c r="A1" s="1" t="s">
        <v>0</v>
      </c>
      <c r="B1" s="1" t="s">
        <v>749</v>
      </c>
      <c r="C1" s="1" t="s">
        <v>750</v>
      </c>
      <c r="D1" s="1" t="s">
        <v>751</v>
      </c>
      <c r="E1" s="1" t="s">
        <v>4</v>
      </c>
    </row>
    <row r="2" spans="1:5">
      <c r="A2" t="s">
        <v>752</v>
      </c>
      <c r="B2" t="s">
        <v>753</v>
      </c>
      <c r="C2" t="s">
        <v>8</v>
      </c>
      <c r="D2" t="s">
        <v>8</v>
      </c>
      <c r="E2">
        <f>IF(C2="No", IF(D2="Yes", "Priority 1", "Priority 2"), "None")</f>
        <v>0</v>
      </c>
    </row>
    <row r="3" spans="1:5">
      <c r="A3" t="s">
        <v>754</v>
      </c>
      <c r="B3" t="s">
        <v>755</v>
      </c>
      <c r="C3" t="s">
        <v>322</v>
      </c>
      <c r="D3" t="s">
        <v>8</v>
      </c>
      <c r="E3">
        <f>IF(C3="No", IF(D3="Yes", "Priority 1", "Priority 2"), "None")</f>
        <v>0</v>
      </c>
    </row>
    <row r="4" spans="1:5">
      <c r="A4" t="s">
        <v>614</v>
      </c>
      <c r="B4" t="s">
        <v>755</v>
      </c>
      <c r="C4" t="s">
        <v>8</v>
      </c>
      <c r="D4" t="s">
        <v>322</v>
      </c>
      <c r="E4">
        <f>IF(C4="No", IF(D4="Yes", "Priority 1", "Priority 2"), "None")</f>
        <v>0</v>
      </c>
    </row>
    <row r="5" spans="1:5">
      <c r="A5" t="s">
        <v>756</v>
      </c>
      <c r="B5" t="s">
        <v>757</v>
      </c>
      <c r="C5" t="s">
        <v>8</v>
      </c>
      <c r="D5" t="s">
        <v>8</v>
      </c>
      <c r="E5">
        <f>IF(C5="No", IF(D5="Yes", "Priority 1", "Priority 2"), "None")</f>
        <v>0</v>
      </c>
    </row>
    <row r="6" spans="1:5">
      <c r="A6" t="s">
        <v>758</v>
      </c>
      <c r="B6" t="s">
        <v>759</v>
      </c>
      <c r="C6" t="s">
        <v>8</v>
      </c>
      <c r="D6" t="s">
        <v>8</v>
      </c>
      <c r="E6">
        <f>IF(C6="No", IF(D6="Yes", "Priority 1", "Priority 2"), "None")</f>
        <v>0</v>
      </c>
    </row>
    <row r="7" spans="1:5">
      <c r="A7" t="s">
        <v>760</v>
      </c>
      <c r="B7" t="s">
        <v>761</v>
      </c>
      <c r="C7" t="s">
        <v>8</v>
      </c>
      <c r="D7" t="s">
        <v>8</v>
      </c>
      <c r="E7">
        <f>IF(C7="No", IF(D7="Yes", "Priority 1", "Priority 2"), "None")</f>
        <v>0</v>
      </c>
    </row>
    <row r="8" spans="1:5">
      <c r="A8" t="s">
        <v>762</v>
      </c>
      <c r="B8" t="s">
        <v>763</v>
      </c>
      <c r="C8" t="s">
        <v>8</v>
      </c>
      <c r="D8" t="s">
        <v>8</v>
      </c>
      <c r="E8">
        <f>IF(C8="No", IF(D8="Yes", "Priority 1", "Priority 2"), "None")</f>
        <v>0</v>
      </c>
    </row>
    <row r="9" spans="1:5">
      <c r="A9" t="s">
        <v>764</v>
      </c>
      <c r="B9" t="s">
        <v>765</v>
      </c>
      <c r="C9" t="s">
        <v>8</v>
      </c>
      <c r="D9" t="s">
        <v>8</v>
      </c>
      <c r="E9">
        <f>IF(C9="No", IF(D9="Yes", "Priority 1", "Priority 2"), "None")</f>
        <v>0</v>
      </c>
    </row>
    <row r="10" spans="1:5">
      <c r="A10" t="s">
        <v>766</v>
      </c>
      <c r="B10" t="s">
        <v>767</v>
      </c>
      <c r="C10" t="s">
        <v>8</v>
      </c>
      <c r="D10" t="s">
        <v>8</v>
      </c>
      <c r="E10">
        <f>IF(C10="No", IF(D10="Yes", "Priority 1", "Priority 2"), "None")</f>
        <v>0</v>
      </c>
    </row>
    <row r="11" spans="1:5">
      <c r="A11" t="s">
        <v>478</v>
      </c>
      <c r="B11" t="s">
        <v>768</v>
      </c>
      <c r="C11" t="s">
        <v>8</v>
      </c>
      <c r="D11" t="s">
        <v>322</v>
      </c>
      <c r="E11">
        <f>IF(C11="No", IF(D11="Yes", "Priority 1", "Priority 2"), "None")</f>
        <v>0</v>
      </c>
    </row>
    <row r="12" spans="1:5">
      <c r="A12" t="s">
        <v>769</v>
      </c>
      <c r="B12" t="s">
        <v>770</v>
      </c>
      <c r="C12" t="s">
        <v>8</v>
      </c>
      <c r="D12" t="s">
        <v>8</v>
      </c>
      <c r="E12">
        <f>IF(C12="No", IF(D12="Yes", "Priority 1", "Priority 2"), "None")</f>
        <v>0</v>
      </c>
    </row>
    <row r="13" spans="1:5">
      <c r="A13" t="s">
        <v>657</v>
      </c>
      <c r="B13" t="s">
        <v>771</v>
      </c>
      <c r="C13" t="s">
        <v>8</v>
      </c>
      <c r="D13" t="s">
        <v>322</v>
      </c>
      <c r="E13">
        <f>IF(C13="No", IF(D13="Yes", "Priority 1", "Priority 2"), "None")</f>
        <v>0</v>
      </c>
    </row>
    <row r="14" spans="1:5">
      <c r="A14" t="s">
        <v>772</v>
      </c>
      <c r="B14" t="s">
        <v>773</v>
      </c>
      <c r="C14" t="s">
        <v>8</v>
      </c>
      <c r="D14" t="s">
        <v>8</v>
      </c>
      <c r="E14">
        <f>IF(C14="No", IF(D14="Yes", "Priority 1", "Priority 2"), "None")</f>
        <v>0</v>
      </c>
    </row>
    <row r="15" spans="1:5">
      <c r="A15" t="s">
        <v>774</v>
      </c>
      <c r="B15" t="s">
        <v>775</v>
      </c>
      <c r="C15" t="s">
        <v>8</v>
      </c>
      <c r="D15" t="s">
        <v>8</v>
      </c>
      <c r="E15">
        <f>IF(C15="No", IF(D15="Yes", "Priority 1", "Priority 2"), "None")</f>
        <v>0</v>
      </c>
    </row>
    <row r="16" spans="1:5">
      <c r="A16" t="s">
        <v>776</v>
      </c>
      <c r="B16" t="s">
        <v>777</v>
      </c>
      <c r="C16" t="s">
        <v>8</v>
      </c>
      <c r="D16" t="s">
        <v>8</v>
      </c>
      <c r="E16">
        <f>IF(C16="No", IF(D16="Yes", "Priority 1", "Priority 2"), "None")</f>
        <v>0</v>
      </c>
    </row>
    <row r="17" spans="1:5">
      <c r="A17" t="s">
        <v>778</v>
      </c>
      <c r="B17" t="s">
        <v>777</v>
      </c>
      <c r="C17" t="s">
        <v>8</v>
      </c>
      <c r="D17" t="s">
        <v>8</v>
      </c>
      <c r="E17">
        <f>IF(C17="No", IF(D17="Yes", "Priority 1", "Priority 2"), "None")</f>
        <v>0</v>
      </c>
    </row>
    <row r="18" spans="1:5">
      <c r="A18" t="s">
        <v>779</v>
      </c>
      <c r="B18" t="s">
        <v>780</v>
      </c>
      <c r="C18" t="s">
        <v>8</v>
      </c>
      <c r="D18" t="s">
        <v>8</v>
      </c>
      <c r="E18">
        <f>IF(C18="No", IF(D18="Yes", "Priority 1", "Priority 2"), "None")</f>
        <v>0</v>
      </c>
    </row>
    <row r="19" spans="1:5">
      <c r="A19" t="s">
        <v>781</v>
      </c>
      <c r="B19" t="s">
        <v>782</v>
      </c>
      <c r="C19" t="s">
        <v>8</v>
      </c>
      <c r="D19" t="s">
        <v>8</v>
      </c>
      <c r="E19">
        <f>IF(C19="No", IF(D19="Yes", "Priority 1", "Priority 2"), "None")</f>
        <v>0</v>
      </c>
    </row>
    <row r="20" spans="1:5">
      <c r="A20" t="s">
        <v>111</v>
      </c>
      <c r="B20" t="s">
        <v>783</v>
      </c>
      <c r="C20" t="s">
        <v>8</v>
      </c>
      <c r="D20" t="s">
        <v>322</v>
      </c>
      <c r="E20">
        <f>IF(C20="No", IF(D20="Yes", "Priority 1", "Priority 2"), "None")</f>
        <v>0</v>
      </c>
    </row>
    <row r="21" spans="1:5">
      <c r="A21" t="s">
        <v>784</v>
      </c>
      <c r="B21" t="s">
        <v>785</v>
      </c>
      <c r="C21" t="s">
        <v>8</v>
      </c>
      <c r="D21" t="s">
        <v>8</v>
      </c>
      <c r="E21">
        <f>IF(C21="No", IF(D21="Yes", "Priority 1", "Priority 2"), "None")</f>
        <v>0</v>
      </c>
    </row>
    <row r="22" spans="1:5">
      <c r="A22" t="s">
        <v>786</v>
      </c>
      <c r="B22" t="s">
        <v>787</v>
      </c>
      <c r="C22" t="s">
        <v>8</v>
      </c>
      <c r="D22" t="s">
        <v>8</v>
      </c>
      <c r="E22">
        <f>IF(C22="No", IF(D22="Yes", "Priority 1", "Priority 2"), "None")</f>
        <v>0</v>
      </c>
    </row>
    <row r="23" spans="1:5">
      <c r="A23" t="s">
        <v>788</v>
      </c>
      <c r="B23" t="s">
        <v>789</v>
      </c>
      <c r="C23" t="s">
        <v>8</v>
      </c>
      <c r="D23" t="s">
        <v>8</v>
      </c>
      <c r="E23">
        <f>IF(C23="No", IF(D23="Yes", "Priority 1", "Priority 2"), "None")</f>
        <v>0</v>
      </c>
    </row>
    <row r="24" spans="1:5">
      <c r="A24" t="s">
        <v>790</v>
      </c>
      <c r="B24" t="s">
        <v>791</v>
      </c>
      <c r="C24" t="s">
        <v>8</v>
      </c>
      <c r="D24" t="s">
        <v>8</v>
      </c>
      <c r="E24">
        <f>IF(C24="No", IF(D24="Yes", "Priority 1", "Priority 2"), "None")</f>
        <v>0</v>
      </c>
    </row>
    <row r="25" spans="1:5">
      <c r="A25" t="s">
        <v>792</v>
      </c>
      <c r="B25" t="s">
        <v>793</v>
      </c>
      <c r="C25" t="s">
        <v>8</v>
      </c>
      <c r="D25" t="s">
        <v>8</v>
      </c>
      <c r="E25">
        <f>IF(C25="No", IF(D25="Yes", "Priority 1", "Priority 2"), "None")</f>
        <v>0</v>
      </c>
    </row>
    <row r="26" spans="1:5">
      <c r="A26" t="s">
        <v>794</v>
      </c>
      <c r="B26" t="s">
        <v>795</v>
      </c>
      <c r="C26" t="s">
        <v>8</v>
      </c>
      <c r="D26" t="s">
        <v>8</v>
      </c>
      <c r="E26">
        <f>IF(C26="No", IF(D26="Yes", "Priority 1", "Priority 2"), "None")</f>
        <v>0</v>
      </c>
    </row>
    <row r="27" spans="1:5">
      <c r="A27" t="s">
        <v>796</v>
      </c>
      <c r="B27" t="s">
        <v>797</v>
      </c>
      <c r="C27" t="s">
        <v>8</v>
      </c>
      <c r="D27" t="s">
        <v>8</v>
      </c>
      <c r="E27">
        <f>IF(C27="No", IF(D27="Yes", "Priority 1", "Priority 2"), "None")</f>
        <v>0</v>
      </c>
    </row>
    <row r="28" spans="1:5">
      <c r="A28" t="s">
        <v>798</v>
      </c>
      <c r="B28" t="s">
        <v>799</v>
      </c>
      <c r="C28" t="s">
        <v>8</v>
      </c>
      <c r="D28" t="s">
        <v>8</v>
      </c>
      <c r="E28">
        <f>IF(C28="No", IF(D28="Yes", "Priority 1", "Priority 2"), "None")</f>
        <v>0</v>
      </c>
    </row>
    <row r="29" spans="1:5">
      <c r="A29" t="s">
        <v>179</v>
      </c>
      <c r="B29" t="s">
        <v>799</v>
      </c>
      <c r="C29" t="s">
        <v>8</v>
      </c>
      <c r="D29" t="s">
        <v>322</v>
      </c>
      <c r="E29">
        <f>IF(C29="No", IF(D29="Yes", "Priority 1", "Priority 2"), "None")</f>
        <v>0</v>
      </c>
    </row>
    <row r="30" spans="1:5">
      <c r="A30" t="s">
        <v>800</v>
      </c>
      <c r="B30" t="s">
        <v>801</v>
      </c>
      <c r="C30" t="s">
        <v>8</v>
      </c>
      <c r="D30" t="s">
        <v>8</v>
      </c>
      <c r="E30">
        <f>IF(C30="No", IF(D30="Yes", "Priority 1", "Priority 2"), "None")</f>
        <v>0</v>
      </c>
    </row>
    <row r="31" spans="1:5">
      <c r="A31" t="s">
        <v>802</v>
      </c>
      <c r="B31" t="s">
        <v>38</v>
      </c>
      <c r="C31" t="s">
        <v>8</v>
      </c>
      <c r="D31" t="s">
        <v>8</v>
      </c>
      <c r="E31">
        <f>IF(C31="No", IF(D31="Yes", "Priority 1", "Priority 2"), "None")</f>
        <v>0</v>
      </c>
    </row>
    <row r="32" spans="1:5">
      <c r="A32" t="s">
        <v>803</v>
      </c>
      <c r="B32" t="s">
        <v>43</v>
      </c>
      <c r="C32" t="s">
        <v>8</v>
      </c>
      <c r="D32" t="s">
        <v>8</v>
      </c>
      <c r="E32">
        <f>IF(C32="No", IF(D32="Yes", "Priority 1", "Priority 2"), "None")</f>
        <v>0</v>
      </c>
    </row>
    <row r="33" spans="1:5">
      <c r="A33" t="s">
        <v>804</v>
      </c>
      <c r="B33" t="s">
        <v>805</v>
      </c>
      <c r="C33" t="s">
        <v>8</v>
      </c>
      <c r="D33" t="s">
        <v>8</v>
      </c>
      <c r="E33">
        <f>IF(C33="No", IF(D33="Yes", "Priority 1", "Priority 2"), "None")</f>
        <v>0</v>
      </c>
    </row>
    <row r="34" spans="1:5">
      <c r="A34" t="s">
        <v>806</v>
      </c>
      <c r="B34" t="s">
        <v>807</v>
      </c>
      <c r="C34" t="s">
        <v>8</v>
      </c>
      <c r="D34" t="s">
        <v>8</v>
      </c>
      <c r="E34">
        <f>IF(C34="No", IF(D34="Yes", "Priority 1", "Priority 2"), "None")</f>
        <v>0</v>
      </c>
    </row>
    <row r="35" spans="1:5">
      <c r="A35" t="s">
        <v>808</v>
      </c>
      <c r="B35" t="s">
        <v>92</v>
      </c>
      <c r="C35" t="s">
        <v>8</v>
      </c>
      <c r="D35" t="s">
        <v>8</v>
      </c>
      <c r="E35">
        <f>IF(C35="No", IF(D35="Yes", "Priority 1", "Priority 2"), "None")</f>
        <v>0</v>
      </c>
    </row>
    <row r="36" spans="1:5">
      <c r="A36" t="s">
        <v>809</v>
      </c>
      <c r="B36" t="s">
        <v>82</v>
      </c>
      <c r="C36" t="s">
        <v>8</v>
      </c>
      <c r="D36" t="s">
        <v>8</v>
      </c>
      <c r="E36">
        <f>IF(C36="No", IF(D36="Yes", "Priority 1", "Priority 2"), "None")</f>
        <v>0</v>
      </c>
    </row>
    <row r="37" spans="1:5">
      <c r="A37" t="s">
        <v>810</v>
      </c>
      <c r="B37" t="s">
        <v>82</v>
      </c>
      <c r="C37" t="s">
        <v>8</v>
      </c>
      <c r="D37" t="s">
        <v>8</v>
      </c>
      <c r="E37">
        <f>IF(C37="No", IF(D37="Yes", "Priority 1", "Priority 2"), "None")</f>
        <v>0</v>
      </c>
    </row>
    <row r="38" spans="1:5">
      <c r="A38" t="s">
        <v>811</v>
      </c>
      <c r="B38" t="s">
        <v>812</v>
      </c>
      <c r="C38" t="s">
        <v>8</v>
      </c>
      <c r="D38" t="s">
        <v>8</v>
      </c>
      <c r="E38">
        <f>IF(C38="No", IF(D38="Yes", "Priority 1", "Priority 2"), "None")</f>
        <v>0</v>
      </c>
    </row>
    <row r="39" spans="1:5">
      <c r="A39" t="s">
        <v>585</v>
      </c>
      <c r="B39" t="s">
        <v>102</v>
      </c>
      <c r="C39" t="s">
        <v>8</v>
      </c>
      <c r="D39" t="s">
        <v>322</v>
      </c>
      <c r="E39">
        <f>IF(C39="No", IF(D39="Yes", "Priority 1", "Priority 2"), "None")</f>
        <v>0</v>
      </c>
    </row>
    <row r="40" spans="1:5">
      <c r="A40" t="s">
        <v>813</v>
      </c>
      <c r="B40" t="s">
        <v>117</v>
      </c>
      <c r="C40" t="s">
        <v>8</v>
      </c>
      <c r="D40" t="s">
        <v>8</v>
      </c>
      <c r="E40">
        <f>IF(C40="No", IF(D40="Yes", "Priority 1", "Priority 2"), "None")</f>
        <v>0</v>
      </c>
    </row>
    <row r="41" spans="1:5">
      <c r="A41" t="s">
        <v>475</v>
      </c>
      <c r="B41" t="s">
        <v>814</v>
      </c>
      <c r="C41" t="s">
        <v>8</v>
      </c>
      <c r="D41" t="s">
        <v>322</v>
      </c>
      <c r="E41">
        <f>IF(C41="No", IF(D41="Yes", "Priority 1", "Priority 2"), "None")</f>
        <v>0</v>
      </c>
    </row>
    <row r="42" spans="1:5">
      <c r="A42" t="s">
        <v>815</v>
      </c>
      <c r="B42" t="s">
        <v>816</v>
      </c>
      <c r="C42" t="s">
        <v>8</v>
      </c>
      <c r="D42" t="s">
        <v>8</v>
      </c>
      <c r="E42">
        <f>IF(C42="No", IF(D42="Yes", "Priority 1", "Priority 2"), "None")</f>
        <v>0</v>
      </c>
    </row>
    <row r="43" spans="1:5">
      <c r="A43" t="s">
        <v>817</v>
      </c>
      <c r="B43" t="s">
        <v>818</v>
      </c>
      <c r="C43" t="s">
        <v>8</v>
      </c>
      <c r="D43" t="s">
        <v>8</v>
      </c>
      <c r="E43">
        <f>IF(C43="No", IF(D43="Yes", "Priority 1", "Priority 2"), "None")</f>
        <v>0</v>
      </c>
    </row>
    <row r="44" spans="1:5">
      <c r="A44" t="s">
        <v>14</v>
      </c>
      <c r="B44" t="s">
        <v>107</v>
      </c>
      <c r="C44" t="s">
        <v>8</v>
      </c>
      <c r="D44" t="s">
        <v>8</v>
      </c>
      <c r="E44">
        <f>IF(C44="No", IF(D44="Yes", "Priority 1", "Priority 2"), "None")</f>
        <v>0</v>
      </c>
    </row>
    <row r="45" spans="1:5">
      <c r="A45" t="s">
        <v>819</v>
      </c>
      <c r="B45" t="s">
        <v>820</v>
      </c>
      <c r="C45" t="s">
        <v>8</v>
      </c>
      <c r="D45" t="s">
        <v>8</v>
      </c>
      <c r="E45">
        <f>IF(C45="No", IF(D45="Yes", "Priority 1", "Priority 2"), "None")</f>
        <v>0</v>
      </c>
    </row>
    <row r="46" spans="1:5">
      <c r="A46" t="s">
        <v>821</v>
      </c>
      <c r="B46" t="s">
        <v>822</v>
      </c>
      <c r="C46" t="s">
        <v>8</v>
      </c>
      <c r="D46" t="s">
        <v>8</v>
      </c>
      <c r="E46">
        <f>IF(C46="No", IF(D46="Yes", "Priority 1", "Priority 2"), "None")</f>
        <v>0</v>
      </c>
    </row>
    <row r="47" spans="1:5">
      <c r="A47" t="s">
        <v>823</v>
      </c>
      <c r="B47" t="s">
        <v>824</v>
      </c>
      <c r="C47" t="s">
        <v>8</v>
      </c>
      <c r="D47" t="s">
        <v>8</v>
      </c>
      <c r="E47">
        <f>IF(C47="No", IF(D47="Yes", "Priority 1", "Priority 2"), "None")</f>
        <v>0</v>
      </c>
    </row>
    <row r="48" spans="1:5">
      <c r="A48" t="s">
        <v>205</v>
      </c>
      <c r="B48" t="s">
        <v>164</v>
      </c>
      <c r="C48" t="s">
        <v>8</v>
      </c>
      <c r="D48" t="s">
        <v>322</v>
      </c>
      <c r="E48">
        <f>IF(C48="No", IF(D48="Yes", "Priority 1", "Priority 2"), "None")</f>
        <v>0</v>
      </c>
    </row>
    <row r="49" spans="1:5">
      <c r="A49" t="s">
        <v>825</v>
      </c>
      <c r="B49" t="s">
        <v>155</v>
      </c>
      <c r="C49" t="s">
        <v>8</v>
      </c>
      <c r="D49" t="s">
        <v>8</v>
      </c>
      <c r="E49">
        <f>IF(C49="No", IF(D49="Yes", "Priority 1", "Priority 2"), "None")</f>
        <v>0</v>
      </c>
    </row>
    <row r="50" spans="1:5">
      <c r="A50" t="s">
        <v>826</v>
      </c>
      <c r="B50" t="s">
        <v>151</v>
      </c>
      <c r="C50" t="s">
        <v>8</v>
      </c>
      <c r="D50" t="s">
        <v>8</v>
      </c>
      <c r="E50">
        <f>IF(C50="No", IF(D50="Yes", "Priority 1", "Priority 2"), "None")</f>
        <v>0</v>
      </c>
    </row>
    <row r="51" spans="1:5">
      <c r="A51" t="s">
        <v>827</v>
      </c>
      <c r="B51" t="s">
        <v>169</v>
      </c>
      <c r="C51" t="s">
        <v>8</v>
      </c>
      <c r="D51" t="s">
        <v>8</v>
      </c>
      <c r="E51">
        <f>IF(C51="No", IF(D51="Yes", "Priority 1", "Priority 2"), "None")</f>
        <v>0</v>
      </c>
    </row>
    <row r="52" spans="1:5">
      <c r="A52" t="s">
        <v>828</v>
      </c>
      <c r="B52" t="s">
        <v>152</v>
      </c>
      <c r="C52" t="s">
        <v>8</v>
      </c>
      <c r="D52" t="s">
        <v>8</v>
      </c>
      <c r="E52">
        <f>IF(C52="No", IF(D52="Yes", "Priority 1", "Priority 2"), "None")</f>
        <v>0</v>
      </c>
    </row>
    <row r="53" spans="1:5">
      <c r="A53" t="s">
        <v>829</v>
      </c>
      <c r="B53" t="s">
        <v>830</v>
      </c>
      <c r="C53" t="s">
        <v>8</v>
      </c>
      <c r="D53" t="s">
        <v>8</v>
      </c>
      <c r="E53">
        <f>IF(C53="No", IF(D53="Yes", "Priority 1", "Priority 2"), "None")</f>
        <v>0</v>
      </c>
    </row>
    <row r="54" spans="1:5">
      <c r="A54" t="s">
        <v>831</v>
      </c>
      <c r="B54" t="s">
        <v>199</v>
      </c>
      <c r="C54" t="s">
        <v>8</v>
      </c>
      <c r="D54" t="s">
        <v>8</v>
      </c>
      <c r="E54">
        <f>IF(C54="No", IF(D54="Yes", "Priority 1", "Priority 2"), "None")</f>
        <v>0</v>
      </c>
    </row>
    <row r="55" spans="1:5">
      <c r="A55" t="s">
        <v>832</v>
      </c>
      <c r="B55" t="s">
        <v>833</v>
      </c>
      <c r="C55" t="s">
        <v>8</v>
      </c>
      <c r="D55" t="s">
        <v>8</v>
      </c>
      <c r="E55">
        <f>IF(C55="No", IF(D55="Yes", "Priority 1", "Priority 2"), "None")</f>
        <v>0</v>
      </c>
    </row>
    <row r="56" spans="1:5">
      <c r="A56" t="s">
        <v>834</v>
      </c>
      <c r="B56" t="s">
        <v>835</v>
      </c>
      <c r="C56" t="s">
        <v>8</v>
      </c>
      <c r="D56" t="s">
        <v>8</v>
      </c>
      <c r="E56">
        <f>IF(C56="No", IF(D56="Yes", "Priority 1", "Priority 2"), "None")</f>
        <v>0</v>
      </c>
    </row>
    <row r="57" spans="1:5">
      <c r="A57" t="s">
        <v>836</v>
      </c>
      <c r="B57" t="s">
        <v>837</v>
      </c>
      <c r="C57" t="s">
        <v>8</v>
      </c>
      <c r="D57" t="s">
        <v>8</v>
      </c>
      <c r="E57">
        <f>IF(C57="No", IF(D57="Yes", "Priority 1", "Priority 2"), "None")</f>
        <v>0</v>
      </c>
    </row>
    <row r="58" spans="1:5">
      <c r="A58" t="s">
        <v>838</v>
      </c>
      <c r="B58" t="s">
        <v>839</v>
      </c>
      <c r="C58" t="s">
        <v>8</v>
      </c>
      <c r="D58" t="s">
        <v>8</v>
      </c>
      <c r="E58">
        <f>IF(C58="No", IF(D58="Yes", "Priority 1", "Priority 2"), "None")</f>
        <v>0</v>
      </c>
    </row>
    <row r="59" spans="1:5">
      <c r="A59" t="s">
        <v>840</v>
      </c>
      <c r="B59" t="s">
        <v>839</v>
      </c>
      <c r="C59" t="s">
        <v>8</v>
      </c>
      <c r="D59" t="s">
        <v>8</v>
      </c>
      <c r="E59">
        <f>IF(C59="No", IF(D59="Yes", "Priority 1", "Priority 2"), "None")</f>
        <v>0</v>
      </c>
    </row>
    <row r="60" spans="1:5">
      <c r="A60" t="s">
        <v>841</v>
      </c>
      <c r="B60" t="s">
        <v>842</v>
      </c>
      <c r="C60" t="s">
        <v>8</v>
      </c>
      <c r="D60" t="s">
        <v>8</v>
      </c>
      <c r="E60">
        <f>IF(C60="No", IF(D60="Yes", "Priority 1", "Priority 2"), "None")</f>
        <v>0</v>
      </c>
    </row>
    <row r="61" spans="1:5">
      <c r="A61" t="s">
        <v>843</v>
      </c>
      <c r="B61" t="s">
        <v>844</v>
      </c>
      <c r="C61" t="s">
        <v>8</v>
      </c>
      <c r="D61" t="s">
        <v>8</v>
      </c>
      <c r="E61">
        <f>IF(C61="No", IF(D61="Yes", "Priority 1", "Priority 2"), "None")</f>
        <v>0</v>
      </c>
    </row>
    <row r="62" spans="1:5">
      <c r="A62" t="s">
        <v>845</v>
      </c>
      <c r="B62" t="s">
        <v>846</v>
      </c>
      <c r="C62" t="s">
        <v>8</v>
      </c>
      <c r="D62" t="s">
        <v>8</v>
      </c>
      <c r="E62">
        <f>IF(C62="No", IF(D62="Yes", "Priority 1", "Priority 2"), "None")</f>
        <v>0</v>
      </c>
    </row>
    <row r="63" spans="1:5">
      <c r="A63" t="s">
        <v>292</v>
      </c>
      <c r="B63" t="s">
        <v>226</v>
      </c>
      <c r="C63" t="s">
        <v>8</v>
      </c>
      <c r="D63" t="s">
        <v>322</v>
      </c>
      <c r="E63">
        <f>IF(C63="No", IF(D63="Yes", "Priority 1", "Priority 2"), "None")</f>
        <v>0</v>
      </c>
    </row>
    <row r="64" spans="1:5">
      <c r="A64" t="s">
        <v>847</v>
      </c>
      <c r="B64" t="s">
        <v>848</v>
      </c>
      <c r="C64" t="s">
        <v>8</v>
      </c>
      <c r="D64" t="s">
        <v>8</v>
      </c>
      <c r="E64">
        <f>IF(C64="No", IF(D64="Yes", "Priority 1", "Priority 2"), "None")</f>
        <v>0</v>
      </c>
    </row>
    <row r="65" spans="1:5">
      <c r="A65" t="s">
        <v>849</v>
      </c>
      <c r="B65" t="s">
        <v>850</v>
      </c>
      <c r="C65" t="s">
        <v>8</v>
      </c>
      <c r="D65" t="s">
        <v>8</v>
      </c>
      <c r="E65">
        <f>IF(C65="No", IF(D65="Yes", "Priority 1", "Priority 2"), "None")</f>
        <v>0</v>
      </c>
    </row>
    <row r="66" spans="1:5">
      <c r="A66" t="s">
        <v>851</v>
      </c>
      <c r="B66" t="s">
        <v>852</v>
      </c>
      <c r="C66" t="s">
        <v>8</v>
      </c>
      <c r="D66" t="s">
        <v>8</v>
      </c>
      <c r="E66">
        <f>IF(C66="No", IF(D66="Yes", "Priority 1", "Priority 2"), "None")</f>
        <v>0</v>
      </c>
    </row>
    <row r="67" spans="1:5">
      <c r="A67" t="s">
        <v>853</v>
      </c>
      <c r="B67" t="s">
        <v>854</v>
      </c>
      <c r="C67" t="s">
        <v>8</v>
      </c>
      <c r="D67" t="s">
        <v>8</v>
      </c>
      <c r="E67">
        <f>IF(C67="No", IF(D67="Yes", "Priority 1", "Priority 2"), "None")</f>
        <v>0</v>
      </c>
    </row>
    <row r="68" spans="1:5">
      <c r="A68" t="s">
        <v>855</v>
      </c>
      <c r="B68" t="s">
        <v>255</v>
      </c>
      <c r="C68" t="s">
        <v>8</v>
      </c>
      <c r="D68" t="s">
        <v>8</v>
      </c>
      <c r="E68">
        <f>IF(C68="No", IF(D68="Yes", "Priority 1", "Priority 2"), "None")</f>
        <v>0</v>
      </c>
    </row>
    <row r="69" spans="1:5">
      <c r="A69" t="s">
        <v>856</v>
      </c>
      <c r="B69" t="s">
        <v>250</v>
      </c>
      <c r="C69" t="s">
        <v>8</v>
      </c>
      <c r="D69" t="s">
        <v>8</v>
      </c>
      <c r="E69">
        <f>IF(C69="No", IF(D69="Yes", "Priority 1", "Priority 2"), "None")</f>
        <v>0</v>
      </c>
    </row>
    <row r="70" spans="1:5">
      <c r="A70" t="s">
        <v>857</v>
      </c>
      <c r="B70" t="s">
        <v>858</v>
      </c>
      <c r="C70" t="s">
        <v>8</v>
      </c>
      <c r="D70" t="s">
        <v>8</v>
      </c>
      <c r="E70">
        <f>IF(C70="No", IF(D70="Yes", "Priority 1", "Priority 2"), "None")</f>
        <v>0</v>
      </c>
    </row>
    <row r="71" spans="1:5">
      <c r="A71" t="s">
        <v>859</v>
      </c>
      <c r="B71" t="s">
        <v>264</v>
      </c>
      <c r="C71" t="s">
        <v>8</v>
      </c>
      <c r="D71" t="s">
        <v>8</v>
      </c>
      <c r="E71">
        <f>IF(C71="No", IF(D71="Yes", "Priority 1", "Priority 2"), "None")</f>
        <v>0</v>
      </c>
    </row>
    <row r="72" spans="1:5">
      <c r="A72" t="s">
        <v>860</v>
      </c>
      <c r="B72" t="s">
        <v>861</v>
      </c>
      <c r="C72" t="s">
        <v>8</v>
      </c>
      <c r="D72" t="s">
        <v>8</v>
      </c>
      <c r="E72">
        <f>IF(C72="No", IF(D72="Yes", "Priority 1", "Priority 2"), "None")</f>
        <v>0</v>
      </c>
    </row>
    <row r="73" spans="1:5">
      <c r="A73" t="s">
        <v>862</v>
      </c>
      <c r="B73" t="s">
        <v>863</v>
      </c>
      <c r="C73" t="s">
        <v>8</v>
      </c>
      <c r="D73" t="s">
        <v>8</v>
      </c>
      <c r="E73">
        <f>IF(C73="No", IF(D73="Yes", "Priority 1", "Priority 2"), "None")</f>
        <v>0</v>
      </c>
    </row>
    <row r="74" spans="1:5">
      <c r="A74" t="s">
        <v>559</v>
      </c>
      <c r="B74" t="s">
        <v>864</v>
      </c>
      <c r="C74" t="s">
        <v>8</v>
      </c>
      <c r="D74" t="s">
        <v>322</v>
      </c>
      <c r="E74">
        <f>IF(C74="No", IF(D74="Yes", "Priority 1", "Priority 2"), "None")</f>
        <v>0</v>
      </c>
    </row>
    <row r="75" spans="1:5">
      <c r="A75" t="s">
        <v>865</v>
      </c>
      <c r="B75" t="s">
        <v>866</v>
      </c>
      <c r="C75" t="s">
        <v>8</v>
      </c>
      <c r="D75" t="s">
        <v>8</v>
      </c>
      <c r="E75">
        <f>IF(C75="No", IF(D75="Yes", "Priority 1", "Priority 2"), "None")</f>
        <v>0</v>
      </c>
    </row>
    <row r="76" spans="1:5">
      <c r="A76" t="s">
        <v>867</v>
      </c>
      <c r="B76" t="s">
        <v>868</v>
      </c>
      <c r="C76" t="s">
        <v>8</v>
      </c>
      <c r="D76" t="s">
        <v>8</v>
      </c>
      <c r="E76">
        <f>IF(C76="No", IF(D76="Yes", "Priority 1", "Priority 2"), "None")</f>
        <v>0</v>
      </c>
    </row>
    <row r="77" spans="1:5">
      <c r="A77" t="s">
        <v>869</v>
      </c>
      <c r="B77" t="s">
        <v>870</v>
      </c>
      <c r="C77" t="s">
        <v>8</v>
      </c>
      <c r="D77" t="s">
        <v>8</v>
      </c>
      <c r="E77">
        <f>IF(C77="No", IF(D77="Yes", "Priority 1", "Priority 2"), "None")</f>
        <v>0</v>
      </c>
    </row>
    <row r="78" spans="1:5">
      <c r="A78" t="s">
        <v>123</v>
      </c>
      <c r="B78" t="s">
        <v>871</v>
      </c>
      <c r="C78" t="s">
        <v>8</v>
      </c>
      <c r="D78" t="s">
        <v>8</v>
      </c>
      <c r="E78">
        <f>IF(C78="No", IF(D78="Yes", "Priority 1", "Priority 2"), "None")</f>
        <v>0</v>
      </c>
    </row>
    <row r="79" spans="1:5">
      <c r="A79" t="s">
        <v>872</v>
      </c>
      <c r="B79" t="s">
        <v>873</v>
      </c>
      <c r="C79" t="s">
        <v>8</v>
      </c>
      <c r="D79" t="s">
        <v>8</v>
      </c>
      <c r="E79">
        <f>IF(C79="No", IF(D79="Yes", "Priority 1", "Priority 2"), "None")</f>
        <v>0</v>
      </c>
    </row>
    <row r="80" spans="1:5">
      <c r="A80" t="s">
        <v>874</v>
      </c>
      <c r="B80" t="s">
        <v>875</v>
      </c>
      <c r="C80" t="s">
        <v>8</v>
      </c>
      <c r="D80" t="s">
        <v>8</v>
      </c>
      <c r="E80">
        <f>IF(C80="No", IF(D80="Yes", "Priority 1", "Priority 2"), "None")</f>
        <v>0</v>
      </c>
    </row>
    <row r="81" spans="1:5">
      <c r="A81" t="s">
        <v>342</v>
      </c>
      <c r="B81" t="s">
        <v>876</v>
      </c>
      <c r="C81" t="s">
        <v>8</v>
      </c>
      <c r="D81" t="s">
        <v>322</v>
      </c>
      <c r="E81">
        <f>IF(C81="No", IF(D81="Yes", "Priority 1", "Priority 2"), "None")</f>
        <v>0</v>
      </c>
    </row>
    <row r="82" spans="1:5">
      <c r="A82" t="s">
        <v>114</v>
      </c>
      <c r="B82" t="s">
        <v>877</v>
      </c>
      <c r="C82" t="s">
        <v>8</v>
      </c>
      <c r="D82" t="s">
        <v>8</v>
      </c>
      <c r="E82">
        <f>IF(C82="No", IF(D82="Yes", "Priority 1", "Priority 2"), "None")</f>
        <v>0</v>
      </c>
    </row>
    <row r="83" spans="1:5">
      <c r="A83" t="s">
        <v>625</v>
      </c>
      <c r="B83" t="s">
        <v>878</v>
      </c>
      <c r="C83" t="s">
        <v>8</v>
      </c>
      <c r="D83" t="s">
        <v>322</v>
      </c>
      <c r="E83">
        <f>IF(C83="No", IF(D83="Yes", "Priority 1", "Priority 2"), "None")</f>
        <v>0</v>
      </c>
    </row>
    <row r="84" spans="1:5">
      <c r="A84" t="s">
        <v>879</v>
      </c>
      <c r="B84" t="s">
        <v>880</v>
      </c>
      <c r="C84" t="s">
        <v>8</v>
      </c>
      <c r="D84" t="s">
        <v>8</v>
      </c>
      <c r="E84">
        <f>IF(C84="No", IF(D84="Yes", "Priority 1", "Priority 2"), "None")</f>
        <v>0</v>
      </c>
    </row>
    <row r="85" spans="1:5">
      <c r="A85" t="s">
        <v>881</v>
      </c>
      <c r="B85" t="s">
        <v>326</v>
      </c>
      <c r="C85" t="s">
        <v>8</v>
      </c>
      <c r="D85" t="s">
        <v>8</v>
      </c>
      <c r="E85">
        <f>IF(C85="No", IF(D85="Yes", "Priority 1", "Priority 2"), "None")</f>
        <v>0</v>
      </c>
    </row>
    <row r="86" spans="1:5">
      <c r="A86" t="s">
        <v>882</v>
      </c>
      <c r="B86" t="s">
        <v>883</v>
      </c>
      <c r="C86" t="s">
        <v>8</v>
      </c>
      <c r="D86" t="s">
        <v>8</v>
      </c>
      <c r="E86">
        <f>IF(C86="No", IF(D86="Yes", "Priority 1", "Priority 2"), "None")</f>
        <v>0</v>
      </c>
    </row>
    <row r="87" spans="1:5">
      <c r="A87" t="s">
        <v>884</v>
      </c>
      <c r="B87" t="s">
        <v>885</v>
      </c>
      <c r="C87" t="s">
        <v>8</v>
      </c>
      <c r="D87" t="s">
        <v>8</v>
      </c>
      <c r="E87">
        <f>IF(C87="No", IF(D87="Yes", "Priority 1", "Priority 2"), "None")</f>
        <v>0</v>
      </c>
    </row>
    <row r="88" spans="1:5">
      <c r="A88" t="s">
        <v>886</v>
      </c>
      <c r="B88" t="s">
        <v>338</v>
      </c>
      <c r="C88" t="s">
        <v>8</v>
      </c>
      <c r="D88" t="s">
        <v>8</v>
      </c>
      <c r="E88">
        <f>IF(C88="No", IF(D88="Yes", "Priority 1", "Priority 2"), "None")</f>
        <v>0</v>
      </c>
    </row>
    <row r="89" spans="1:5">
      <c r="A89" t="s">
        <v>887</v>
      </c>
      <c r="B89" t="s">
        <v>344</v>
      </c>
      <c r="C89" t="s">
        <v>8</v>
      </c>
      <c r="D89" t="s">
        <v>8</v>
      </c>
      <c r="E89">
        <f>IF(C89="No", IF(D89="Yes", "Priority 1", "Priority 2"), "None")</f>
        <v>0</v>
      </c>
    </row>
    <row r="90" spans="1:5">
      <c r="A90" t="s">
        <v>888</v>
      </c>
      <c r="B90" t="s">
        <v>335</v>
      </c>
      <c r="C90" t="s">
        <v>8</v>
      </c>
      <c r="D90" t="s">
        <v>8</v>
      </c>
      <c r="E90">
        <f>IF(C90="No", IF(D90="Yes", "Priority 1", "Priority 2"), "None")</f>
        <v>0</v>
      </c>
    </row>
    <row r="91" spans="1:5">
      <c r="A91" t="s">
        <v>889</v>
      </c>
      <c r="B91" t="s">
        <v>336</v>
      </c>
      <c r="C91" t="s">
        <v>8</v>
      </c>
      <c r="D91" t="s">
        <v>8</v>
      </c>
      <c r="E91">
        <f>IF(C91="No", IF(D91="Yes", "Priority 1", "Priority 2"), "None")</f>
        <v>0</v>
      </c>
    </row>
    <row r="92" spans="1:5">
      <c r="A92" t="s">
        <v>890</v>
      </c>
      <c r="B92" t="s">
        <v>891</v>
      </c>
      <c r="C92" t="s">
        <v>8</v>
      </c>
      <c r="D92" t="s">
        <v>8</v>
      </c>
      <c r="E92">
        <f>IF(C92="No", IF(D92="Yes", "Priority 1", "Priority 2"), "None")</f>
        <v>0</v>
      </c>
    </row>
    <row r="93" spans="1:5">
      <c r="A93" t="s">
        <v>892</v>
      </c>
      <c r="B93" t="s">
        <v>347</v>
      </c>
      <c r="C93" t="s">
        <v>8</v>
      </c>
      <c r="D93" t="s">
        <v>8</v>
      </c>
      <c r="E93">
        <f>IF(C93="No", IF(D93="Yes", "Priority 1", "Priority 2"), "None")</f>
        <v>0</v>
      </c>
    </row>
    <row r="94" spans="1:5">
      <c r="A94" t="s">
        <v>893</v>
      </c>
      <c r="B94" t="s">
        <v>362</v>
      </c>
      <c r="C94" t="s">
        <v>8</v>
      </c>
      <c r="D94" t="s">
        <v>8</v>
      </c>
      <c r="E94">
        <f>IF(C94="No", IF(D94="Yes", "Priority 1", "Priority 2"), "None")</f>
        <v>0</v>
      </c>
    </row>
    <row r="95" spans="1:5">
      <c r="A95" t="s">
        <v>894</v>
      </c>
      <c r="B95" t="s">
        <v>895</v>
      </c>
      <c r="C95" t="s">
        <v>322</v>
      </c>
      <c r="D95" t="s">
        <v>8</v>
      </c>
      <c r="E95">
        <f>IF(C95="No", IF(D95="Yes", "Priority 1", "Priority 2"), "None")</f>
        <v>0</v>
      </c>
    </row>
    <row r="96" spans="1:5">
      <c r="A96" t="s">
        <v>896</v>
      </c>
      <c r="B96" t="s">
        <v>360</v>
      </c>
      <c r="C96" t="s">
        <v>8</v>
      </c>
      <c r="D96" t="s">
        <v>8</v>
      </c>
      <c r="E96">
        <f>IF(C96="No", IF(D96="Yes", "Priority 1", "Priority 2"), "None")</f>
        <v>0</v>
      </c>
    </row>
    <row r="97" spans="1:5">
      <c r="A97" t="s">
        <v>897</v>
      </c>
      <c r="B97" t="s">
        <v>898</v>
      </c>
      <c r="C97" t="s">
        <v>8</v>
      </c>
      <c r="D97" t="s">
        <v>8</v>
      </c>
      <c r="E97">
        <f>IF(C97="No", IF(D97="Yes", "Priority 1", "Priority 2"), "None")</f>
        <v>0</v>
      </c>
    </row>
    <row r="98" spans="1:5">
      <c r="A98" t="s">
        <v>899</v>
      </c>
      <c r="B98" t="s">
        <v>900</v>
      </c>
      <c r="C98" t="s">
        <v>8</v>
      </c>
      <c r="D98" t="s">
        <v>8</v>
      </c>
      <c r="E98">
        <f>IF(C98="No", IF(D98="Yes", "Priority 1", "Priority 2"), "None")</f>
        <v>0</v>
      </c>
    </row>
    <row r="99" spans="1:5">
      <c r="A99" t="s">
        <v>901</v>
      </c>
      <c r="B99" t="s">
        <v>902</v>
      </c>
      <c r="C99" t="s">
        <v>8</v>
      </c>
      <c r="D99" t="s">
        <v>8</v>
      </c>
      <c r="E99">
        <f>IF(C99="No", IF(D99="Yes", "Priority 1", "Priority 2"), "None")</f>
        <v>0</v>
      </c>
    </row>
    <row r="100" spans="1:5">
      <c r="A100" t="s">
        <v>523</v>
      </c>
      <c r="B100" t="s">
        <v>903</v>
      </c>
      <c r="C100" t="s">
        <v>8</v>
      </c>
      <c r="D100" t="s">
        <v>322</v>
      </c>
      <c r="E100">
        <f>IF(C100="No", IF(D100="Yes", "Priority 1", "Priority 2"), "None")</f>
        <v>0</v>
      </c>
    </row>
    <row r="101" spans="1:5">
      <c r="A101" t="s">
        <v>904</v>
      </c>
      <c r="B101" t="s">
        <v>903</v>
      </c>
      <c r="C101" t="s">
        <v>8</v>
      </c>
      <c r="D101" t="s">
        <v>8</v>
      </c>
      <c r="E101">
        <f>IF(C101="No", IF(D101="Yes", "Priority 1", "Priority 2"), "None")</f>
        <v>0</v>
      </c>
    </row>
    <row r="102" spans="1:5">
      <c r="A102" t="s">
        <v>905</v>
      </c>
      <c r="B102" t="s">
        <v>906</v>
      </c>
      <c r="C102" t="s">
        <v>8</v>
      </c>
      <c r="D102" t="s">
        <v>8</v>
      </c>
      <c r="E102">
        <f>IF(C102="No", IF(D102="Yes", "Priority 1", "Priority 2"), "None")</f>
        <v>0</v>
      </c>
    </row>
    <row r="103" spans="1:5">
      <c r="A103" t="s">
        <v>907</v>
      </c>
      <c r="B103" t="s">
        <v>908</v>
      </c>
      <c r="C103" t="s">
        <v>8</v>
      </c>
      <c r="D103" t="s">
        <v>8</v>
      </c>
      <c r="E103">
        <f>IF(C103="No", IF(D103="Yes", "Priority 1", "Priority 2"), "None")</f>
        <v>0</v>
      </c>
    </row>
    <row r="104" spans="1:5">
      <c r="A104" t="s">
        <v>909</v>
      </c>
      <c r="B104" t="s">
        <v>743</v>
      </c>
      <c r="C104" t="s">
        <v>8</v>
      </c>
      <c r="D104" t="s">
        <v>8</v>
      </c>
      <c r="E104">
        <f>IF(C104="No", IF(D104="Yes", "Priority 1", "Priority 2"), "None")</f>
        <v>0</v>
      </c>
    </row>
    <row r="105" spans="1:5">
      <c r="A105" t="s">
        <v>910</v>
      </c>
      <c r="B105" t="s">
        <v>911</v>
      </c>
      <c r="C105" t="s">
        <v>8</v>
      </c>
      <c r="D105" t="s">
        <v>8</v>
      </c>
      <c r="E105">
        <f>IF(C105="No", IF(D105="Yes", "Priority 1", "Priority 2"), "None")</f>
        <v>0</v>
      </c>
    </row>
    <row r="106" spans="1:5">
      <c r="A106" t="s">
        <v>912</v>
      </c>
      <c r="B106" t="s">
        <v>397</v>
      </c>
      <c r="C106" t="s">
        <v>8</v>
      </c>
      <c r="D106" t="s">
        <v>8</v>
      </c>
      <c r="E106">
        <f>IF(C106="No", IF(D106="Yes", "Priority 1", "Priority 2"), "None")</f>
        <v>0</v>
      </c>
    </row>
    <row r="107" spans="1:5">
      <c r="A107" t="s">
        <v>913</v>
      </c>
      <c r="B107" t="s">
        <v>914</v>
      </c>
      <c r="C107" t="s">
        <v>8</v>
      </c>
      <c r="D107" t="s">
        <v>8</v>
      </c>
      <c r="E107">
        <f>IF(C107="No", IF(D107="Yes", "Priority 1", "Priority 2"), "None")</f>
        <v>0</v>
      </c>
    </row>
    <row r="108" spans="1:5">
      <c r="A108" t="s">
        <v>915</v>
      </c>
      <c r="B108" t="s">
        <v>916</v>
      </c>
      <c r="C108" t="s">
        <v>8</v>
      </c>
      <c r="D108" t="s">
        <v>8</v>
      </c>
      <c r="E108">
        <f>IF(C108="No", IF(D108="Yes", "Priority 1", "Priority 2"), "None")</f>
        <v>0</v>
      </c>
    </row>
    <row r="109" spans="1:5">
      <c r="A109" t="s">
        <v>917</v>
      </c>
      <c r="B109" t="s">
        <v>918</v>
      </c>
      <c r="C109" t="s">
        <v>8</v>
      </c>
      <c r="D109" t="s">
        <v>8</v>
      </c>
      <c r="E109">
        <f>IF(C109="No", IF(D109="Yes", "Priority 1", "Priority 2"), "None")</f>
        <v>0</v>
      </c>
    </row>
    <row r="110" spans="1:5">
      <c r="A110" t="s">
        <v>919</v>
      </c>
      <c r="B110" t="s">
        <v>918</v>
      </c>
      <c r="C110" t="s">
        <v>8</v>
      </c>
      <c r="D110" t="s">
        <v>8</v>
      </c>
      <c r="E110">
        <f>IF(C110="No", IF(D110="Yes", "Priority 1", "Priority 2"), "None")</f>
        <v>0</v>
      </c>
    </row>
    <row r="111" spans="1:5">
      <c r="A111" t="s">
        <v>920</v>
      </c>
      <c r="B111" t="s">
        <v>921</v>
      </c>
      <c r="C111" t="s">
        <v>8</v>
      </c>
      <c r="D111" t="s">
        <v>8</v>
      </c>
      <c r="E111">
        <f>IF(C111="No", IF(D111="Yes", "Priority 1", "Priority 2"), "None")</f>
        <v>0</v>
      </c>
    </row>
    <row r="112" spans="1:5">
      <c r="A112" t="s">
        <v>922</v>
      </c>
      <c r="B112" t="s">
        <v>407</v>
      </c>
      <c r="C112" t="s">
        <v>8</v>
      </c>
      <c r="D112" t="s">
        <v>8</v>
      </c>
      <c r="E112">
        <f>IF(C112="No", IF(D112="Yes", "Priority 1", "Priority 2"), "None")</f>
        <v>0</v>
      </c>
    </row>
    <row r="113" spans="1:5">
      <c r="A113" t="s">
        <v>923</v>
      </c>
      <c r="B113" t="s">
        <v>409</v>
      </c>
      <c r="C113" t="s">
        <v>8</v>
      </c>
      <c r="D113" t="s">
        <v>8</v>
      </c>
      <c r="E113">
        <f>IF(C113="No", IF(D113="Yes", "Priority 1", "Priority 2"), "None")</f>
        <v>0</v>
      </c>
    </row>
    <row r="114" spans="1:5">
      <c r="A114" t="s">
        <v>924</v>
      </c>
      <c r="B114" t="s">
        <v>404</v>
      </c>
      <c r="C114" t="s">
        <v>8</v>
      </c>
      <c r="D114" t="s">
        <v>8</v>
      </c>
      <c r="E114">
        <f>IF(C114="No", IF(D114="Yes", "Priority 1", "Priority 2"), "None")</f>
        <v>0</v>
      </c>
    </row>
    <row r="115" spans="1:5">
      <c r="A115" t="s">
        <v>925</v>
      </c>
      <c r="B115" t="s">
        <v>926</v>
      </c>
      <c r="C115" t="s">
        <v>8</v>
      </c>
      <c r="D115" t="s">
        <v>8</v>
      </c>
      <c r="E115">
        <f>IF(C115="No", IF(D115="Yes", "Priority 1", "Priority 2"), "None")</f>
        <v>0</v>
      </c>
    </row>
    <row r="116" spans="1:5">
      <c r="A116" t="s">
        <v>927</v>
      </c>
      <c r="B116" t="s">
        <v>928</v>
      </c>
      <c r="C116" t="s">
        <v>8</v>
      </c>
      <c r="D116" t="s">
        <v>8</v>
      </c>
      <c r="E116">
        <f>IF(C116="No", IF(D116="Yes", "Priority 1", "Priority 2"), "None")</f>
        <v>0</v>
      </c>
    </row>
    <row r="117" spans="1:5">
      <c r="A117" t="s">
        <v>929</v>
      </c>
      <c r="B117" t="s">
        <v>421</v>
      </c>
      <c r="C117" t="s">
        <v>8</v>
      </c>
      <c r="D117" t="s">
        <v>8</v>
      </c>
      <c r="E117">
        <f>IF(C117="No", IF(D117="Yes", "Priority 1", "Priority 2"), "None")</f>
        <v>0</v>
      </c>
    </row>
    <row r="118" spans="1:5">
      <c r="A118" t="s">
        <v>930</v>
      </c>
      <c r="B118" t="s">
        <v>414</v>
      </c>
      <c r="C118" t="s">
        <v>8</v>
      </c>
      <c r="D118" t="s">
        <v>8</v>
      </c>
      <c r="E118">
        <f>IF(C118="No", IF(D118="Yes", "Priority 1", "Priority 2"), "None")</f>
        <v>0</v>
      </c>
    </row>
    <row r="119" spans="1:5">
      <c r="A119" t="s">
        <v>931</v>
      </c>
      <c r="B119" t="s">
        <v>932</v>
      </c>
      <c r="C119" t="s">
        <v>8</v>
      </c>
      <c r="D119" t="s">
        <v>8</v>
      </c>
      <c r="E119">
        <f>IF(C119="No", IF(D119="Yes", "Priority 1", "Priority 2"), "None")</f>
        <v>0</v>
      </c>
    </row>
    <row r="120" spans="1:5">
      <c r="A120" t="s">
        <v>933</v>
      </c>
      <c r="B120" t="s">
        <v>934</v>
      </c>
      <c r="C120" t="s">
        <v>8</v>
      </c>
      <c r="D120" t="s">
        <v>8</v>
      </c>
      <c r="E120">
        <f>IF(C120="No", IF(D120="Yes", "Priority 1", "Priority 2"), "None")</f>
        <v>0</v>
      </c>
    </row>
    <row r="121" spans="1:5">
      <c r="A121" t="s">
        <v>935</v>
      </c>
      <c r="B121" t="s">
        <v>936</v>
      </c>
      <c r="C121" t="s">
        <v>8</v>
      </c>
      <c r="D121" t="s">
        <v>8</v>
      </c>
      <c r="E121">
        <f>IF(C121="No", IF(D121="Yes", "Priority 1", "Priority 2"), "None")</f>
        <v>0</v>
      </c>
    </row>
    <row r="122" spans="1:5">
      <c r="A122" t="s">
        <v>937</v>
      </c>
      <c r="B122" t="s">
        <v>938</v>
      </c>
      <c r="C122" t="s">
        <v>8</v>
      </c>
      <c r="D122" t="s">
        <v>8</v>
      </c>
      <c r="E122">
        <f>IF(C122="No", IF(D122="Yes", "Priority 1", "Priority 2"), "None")</f>
        <v>0</v>
      </c>
    </row>
    <row r="123" spans="1:5">
      <c r="A123" t="s">
        <v>939</v>
      </c>
      <c r="B123" t="s">
        <v>436</v>
      </c>
      <c r="C123" t="s">
        <v>8</v>
      </c>
      <c r="D123" t="s">
        <v>8</v>
      </c>
      <c r="E123">
        <f>IF(C123="No", IF(D123="Yes", "Priority 1", "Priority 2"), "None")</f>
        <v>0</v>
      </c>
    </row>
    <row r="124" spans="1:5">
      <c r="A124" t="s">
        <v>913</v>
      </c>
      <c r="B124" t="s">
        <v>940</v>
      </c>
      <c r="C124" t="s">
        <v>8</v>
      </c>
      <c r="D124" t="s">
        <v>8</v>
      </c>
      <c r="E124">
        <f>IF(C124="No", IF(D124="Yes", "Priority 1", "Priority 2"), "None")</f>
        <v>0</v>
      </c>
    </row>
    <row r="125" spans="1:5">
      <c r="A125" t="s">
        <v>941</v>
      </c>
      <c r="B125" t="s">
        <v>942</v>
      </c>
      <c r="C125" t="s">
        <v>8</v>
      </c>
      <c r="D125" t="s">
        <v>8</v>
      </c>
      <c r="E125">
        <f>IF(C125="No", IF(D125="Yes", "Priority 1", "Priority 2"), "None")</f>
        <v>0</v>
      </c>
    </row>
    <row r="126" spans="1:5">
      <c r="A126" t="s">
        <v>943</v>
      </c>
      <c r="B126" t="s">
        <v>944</v>
      </c>
      <c r="C126" t="s">
        <v>8</v>
      </c>
      <c r="D126" t="s">
        <v>8</v>
      </c>
      <c r="E126">
        <f>IF(C126="No", IF(D126="Yes", "Priority 1", "Priority 2"), "None")</f>
        <v>0</v>
      </c>
    </row>
    <row r="127" spans="1:5">
      <c r="A127" t="s">
        <v>945</v>
      </c>
      <c r="B127" t="s">
        <v>431</v>
      </c>
      <c r="C127" t="s">
        <v>8</v>
      </c>
      <c r="D127" t="s">
        <v>8</v>
      </c>
      <c r="E127">
        <f>IF(C127="No", IF(D127="Yes", "Priority 1", "Priority 2"), "None")</f>
        <v>0</v>
      </c>
    </row>
    <row r="128" spans="1:5">
      <c r="A128" t="s">
        <v>311</v>
      </c>
      <c r="B128" t="s">
        <v>946</v>
      </c>
      <c r="C128" t="s">
        <v>8</v>
      </c>
      <c r="D128" t="s">
        <v>8</v>
      </c>
      <c r="E128">
        <f>IF(C128="No", IF(D128="Yes", "Priority 1", "Priority 2"), "None")</f>
        <v>0</v>
      </c>
    </row>
    <row r="129" spans="1:5">
      <c r="A129" t="s">
        <v>947</v>
      </c>
      <c r="B129" t="s">
        <v>948</v>
      </c>
      <c r="C129" t="s">
        <v>8</v>
      </c>
      <c r="D129" t="s">
        <v>8</v>
      </c>
      <c r="E129">
        <f>IF(C129="No", IF(D129="Yes", "Priority 1", "Priority 2"), "None")</f>
        <v>0</v>
      </c>
    </row>
    <row r="130" spans="1:5">
      <c r="A130" t="s">
        <v>949</v>
      </c>
      <c r="B130" t="s">
        <v>446</v>
      </c>
      <c r="C130" t="s">
        <v>8</v>
      </c>
      <c r="D130" t="s">
        <v>8</v>
      </c>
      <c r="E130">
        <f>IF(C130="No", IF(D130="Yes", "Priority 1", "Priority 2"), "None")</f>
        <v>0</v>
      </c>
    </row>
    <row r="131" spans="1:5">
      <c r="A131" t="s">
        <v>950</v>
      </c>
      <c r="B131" t="s">
        <v>951</v>
      </c>
      <c r="C131" t="s">
        <v>8</v>
      </c>
      <c r="D131" t="s">
        <v>8</v>
      </c>
      <c r="E131">
        <f>IF(C131="No", IF(D131="Yes", "Priority 1", "Priority 2"), "None")</f>
        <v>0</v>
      </c>
    </row>
    <row r="132" spans="1:5">
      <c r="A132" t="s">
        <v>952</v>
      </c>
      <c r="B132" t="s">
        <v>953</v>
      </c>
      <c r="C132" t="s">
        <v>8</v>
      </c>
      <c r="D132" t="s">
        <v>8</v>
      </c>
      <c r="E132">
        <f>IF(C132="No", IF(D132="Yes", "Priority 1", "Priority 2"), "None")</f>
        <v>0</v>
      </c>
    </row>
    <row r="133" spans="1:5">
      <c r="A133" t="s">
        <v>954</v>
      </c>
      <c r="B133" t="s">
        <v>953</v>
      </c>
      <c r="C133" t="s">
        <v>8</v>
      </c>
      <c r="D133" t="s">
        <v>8</v>
      </c>
      <c r="E133">
        <f>IF(C133="No", IF(D133="Yes", "Priority 1", "Priority 2"), "None")</f>
        <v>0</v>
      </c>
    </row>
    <row r="134" spans="1:5">
      <c r="A134" t="s">
        <v>955</v>
      </c>
      <c r="B134" t="s">
        <v>956</v>
      </c>
      <c r="C134" t="s">
        <v>8</v>
      </c>
      <c r="D134" t="s">
        <v>8</v>
      </c>
      <c r="E134">
        <f>IF(C134="No", IF(D134="Yes", "Priority 1", "Priority 2"), "None")</f>
        <v>0</v>
      </c>
    </row>
    <row r="135" spans="1:5">
      <c r="A135" t="s">
        <v>957</v>
      </c>
      <c r="B135" t="s">
        <v>958</v>
      </c>
      <c r="C135" t="s">
        <v>8</v>
      </c>
      <c r="D135" t="s">
        <v>8</v>
      </c>
      <c r="E135">
        <f>IF(C135="No", IF(D135="Yes", "Priority 1", "Priority 2"), "None")</f>
        <v>0</v>
      </c>
    </row>
    <row r="136" spans="1:5">
      <c r="A136" t="s">
        <v>959</v>
      </c>
      <c r="B136" t="s">
        <v>960</v>
      </c>
      <c r="C136" t="s">
        <v>8</v>
      </c>
      <c r="D136" t="s">
        <v>8</v>
      </c>
      <c r="E136">
        <f>IF(C136="No", IF(D136="Yes", "Priority 1", "Priority 2"), "None")</f>
        <v>0</v>
      </c>
    </row>
    <row r="137" spans="1:5">
      <c r="A137" t="s">
        <v>454</v>
      </c>
      <c r="B137" t="s">
        <v>961</v>
      </c>
      <c r="C137" t="s">
        <v>8</v>
      </c>
      <c r="D137" t="s">
        <v>8</v>
      </c>
      <c r="E137">
        <f>IF(C137="No", IF(D137="Yes", "Priority 1", "Priority 2"), "None")</f>
        <v>0</v>
      </c>
    </row>
    <row r="138" spans="1:5">
      <c r="A138" t="s">
        <v>962</v>
      </c>
      <c r="B138" t="s">
        <v>963</v>
      </c>
      <c r="C138" t="s">
        <v>8</v>
      </c>
      <c r="D138" t="s">
        <v>8</v>
      </c>
      <c r="E138">
        <f>IF(C138="No", IF(D138="Yes", "Priority 1", "Priority 2"), "None")</f>
        <v>0</v>
      </c>
    </row>
    <row r="139" spans="1:5">
      <c r="A139" t="s">
        <v>964</v>
      </c>
      <c r="B139" t="s">
        <v>965</v>
      </c>
      <c r="C139" t="s">
        <v>8</v>
      </c>
      <c r="D139" t="s">
        <v>8</v>
      </c>
      <c r="E139">
        <f>IF(C139="No", IF(D139="Yes", "Priority 1", "Priority 2"), "None")</f>
        <v>0</v>
      </c>
    </row>
    <row r="140" spans="1:5">
      <c r="A140" t="s">
        <v>966</v>
      </c>
      <c r="B140" t="s">
        <v>965</v>
      </c>
      <c r="C140" t="s">
        <v>8</v>
      </c>
      <c r="D140" t="s">
        <v>8</v>
      </c>
      <c r="E140">
        <f>IF(C140="No", IF(D140="Yes", "Priority 1", "Priority 2"), "None")</f>
        <v>0</v>
      </c>
    </row>
    <row r="141" spans="1:5">
      <c r="A141" t="s">
        <v>967</v>
      </c>
      <c r="B141" t="s">
        <v>968</v>
      </c>
      <c r="C141" t="s">
        <v>8</v>
      </c>
      <c r="D141" t="s">
        <v>8</v>
      </c>
      <c r="E141">
        <f>IF(C141="No", IF(D141="Yes", "Priority 1", "Priority 2"), "None")</f>
        <v>0</v>
      </c>
    </row>
    <row r="142" spans="1:5">
      <c r="A142" t="s">
        <v>969</v>
      </c>
      <c r="B142" t="s">
        <v>970</v>
      </c>
      <c r="C142" t="s">
        <v>8</v>
      </c>
      <c r="D142" t="s">
        <v>8</v>
      </c>
      <c r="E142">
        <f>IF(C142="No", IF(D142="Yes", "Priority 1", "Priority 2"), "None")</f>
        <v>0</v>
      </c>
    </row>
    <row r="143" spans="1:5">
      <c r="A143" t="s">
        <v>971</v>
      </c>
      <c r="B143" t="s">
        <v>476</v>
      </c>
      <c r="C143" t="s">
        <v>8</v>
      </c>
      <c r="D143" t="s">
        <v>8</v>
      </c>
      <c r="E143">
        <f>IF(C143="No", IF(D143="Yes", "Priority 1", "Priority 2"), "None")</f>
        <v>0</v>
      </c>
    </row>
    <row r="144" spans="1:5">
      <c r="A144" t="s">
        <v>972</v>
      </c>
      <c r="B144" t="s">
        <v>973</v>
      </c>
      <c r="C144" t="s">
        <v>8</v>
      </c>
      <c r="D144" t="s">
        <v>8</v>
      </c>
      <c r="E144">
        <f>IF(C144="No", IF(D144="Yes", "Priority 1", "Priority 2"), "None")</f>
        <v>0</v>
      </c>
    </row>
    <row r="145" spans="1:5">
      <c r="A145" t="s">
        <v>974</v>
      </c>
      <c r="B145" t="s">
        <v>975</v>
      </c>
      <c r="C145" t="s">
        <v>8</v>
      </c>
      <c r="D145" t="s">
        <v>8</v>
      </c>
      <c r="E145">
        <f>IF(C145="No", IF(D145="Yes", "Priority 1", "Priority 2"), "None")</f>
        <v>0</v>
      </c>
    </row>
    <row r="146" spans="1:5">
      <c r="A146" t="s">
        <v>976</v>
      </c>
      <c r="B146" t="s">
        <v>977</v>
      </c>
      <c r="C146" t="s">
        <v>8</v>
      </c>
      <c r="D146" t="s">
        <v>8</v>
      </c>
      <c r="E146">
        <f>IF(C146="No", IF(D146="Yes", "Priority 1", "Priority 2"), "None")</f>
        <v>0</v>
      </c>
    </row>
    <row r="147" spans="1:5">
      <c r="A147" t="s">
        <v>748</v>
      </c>
      <c r="B147" t="s">
        <v>978</v>
      </c>
      <c r="C147" t="s">
        <v>322</v>
      </c>
      <c r="D147" t="s">
        <v>322</v>
      </c>
      <c r="E147">
        <f>IF(C147="No", IF(D147="Yes", "Priority 1", "Priority 2"), "None")</f>
        <v>0</v>
      </c>
    </row>
    <row r="148" spans="1:5">
      <c r="A148" t="s">
        <v>979</v>
      </c>
      <c r="B148" t="s">
        <v>980</v>
      </c>
      <c r="C148" t="s">
        <v>8</v>
      </c>
      <c r="D148" t="s">
        <v>8</v>
      </c>
      <c r="E148">
        <f>IF(C148="No", IF(D148="Yes", "Priority 1", "Priority 2"), "None")</f>
        <v>0</v>
      </c>
    </row>
    <row r="149" spans="1:5">
      <c r="A149" t="s">
        <v>981</v>
      </c>
      <c r="B149" t="s">
        <v>982</v>
      </c>
      <c r="C149" t="s">
        <v>8</v>
      </c>
      <c r="D149" t="s">
        <v>8</v>
      </c>
      <c r="E149">
        <f>IF(C149="No", IF(D149="Yes", "Priority 1", "Priority 2"), "None")</f>
        <v>0</v>
      </c>
    </row>
    <row r="150" spans="1:5">
      <c r="A150" t="s">
        <v>983</v>
      </c>
      <c r="B150" t="s">
        <v>984</v>
      </c>
      <c r="C150" t="s">
        <v>8</v>
      </c>
      <c r="D150" t="s">
        <v>8</v>
      </c>
      <c r="E150">
        <f>IF(C150="No", IF(D150="Yes", "Priority 1", "Priority 2"), "None")</f>
        <v>0</v>
      </c>
    </row>
    <row r="151" spans="1:5">
      <c r="A151" t="s">
        <v>985</v>
      </c>
      <c r="B151" t="s">
        <v>547</v>
      </c>
      <c r="C151" t="s">
        <v>8</v>
      </c>
      <c r="D151" t="s">
        <v>8</v>
      </c>
      <c r="E151">
        <f>IF(C151="No", IF(D151="Yes", "Priority 1", "Priority 2"), "None")</f>
        <v>0</v>
      </c>
    </row>
    <row r="152" spans="1:5">
      <c r="A152" t="s">
        <v>986</v>
      </c>
      <c r="B152" t="s">
        <v>547</v>
      </c>
      <c r="C152" t="s">
        <v>8</v>
      </c>
      <c r="D152" t="s">
        <v>8</v>
      </c>
      <c r="E152">
        <f>IF(C152="No", IF(D152="Yes", "Priority 1", "Priority 2"), "None")</f>
        <v>0</v>
      </c>
    </row>
    <row r="153" spans="1:5">
      <c r="A153" t="s">
        <v>987</v>
      </c>
      <c r="B153" t="s">
        <v>563</v>
      </c>
      <c r="C153" t="s">
        <v>8</v>
      </c>
      <c r="D153" t="s">
        <v>8</v>
      </c>
      <c r="E153">
        <f>IF(C153="No", IF(D153="Yes", "Priority 1", "Priority 2"), "None")</f>
        <v>0</v>
      </c>
    </row>
    <row r="154" spans="1:5">
      <c r="A154" t="s">
        <v>988</v>
      </c>
      <c r="B154" t="s">
        <v>544</v>
      </c>
      <c r="C154" t="s">
        <v>8</v>
      </c>
      <c r="D154" t="s">
        <v>8</v>
      </c>
      <c r="E154">
        <f>IF(C154="No", IF(D154="Yes", "Priority 1", "Priority 2"), "None")</f>
        <v>0</v>
      </c>
    </row>
    <row r="155" spans="1:5">
      <c r="A155" t="s">
        <v>989</v>
      </c>
      <c r="B155" t="s">
        <v>990</v>
      </c>
      <c r="C155" t="s">
        <v>8</v>
      </c>
      <c r="D155" t="s">
        <v>8</v>
      </c>
      <c r="E155">
        <f>IF(C155="No", IF(D155="Yes", "Priority 1", "Priority 2"), "None")</f>
        <v>0</v>
      </c>
    </row>
    <row r="156" spans="1:5">
      <c r="A156" t="s">
        <v>991</v>
      </c>
      <c r="B156" t="s">
        <v>586</v>
      </c>
      <c r="C156" t="s">
        <v>8</v>
      </c>
      <c r="D156" t="s">
        <v>8</v>
      </c>
      <c r="E156">
        <f>IF(C156="No", IF(D156="Yes", "Priority 1", "Priority 2"), "None")</f>
        <v>0</v>
      </c>
    </row>
    <row r="157" spans="1:5">
      <c r="A157" t="s">
        <v>992</v>
      </c>
      <c r="B157" t="s">
        <v>578</v>
      </c>
      <c r="C157" t="s">
        <v>8</v>
      </c>
      <c r="D157" t="s">
        <v>8</v>
      </c>
      <c r="E157">
        <f>IF(C157="No", IF(D157="Yes", "Priority 1", "Priority 2"), "None")</f>
        <v>0</v>
      </c>
    </row>
    <row r="158" spans="1:5">
      <c r="A158" t="s">
        <v>993</v>
      </c>
      <c r="B158" t="s">
        <v>579</v>
      </c>
      <c r="C158" t="s">
        <v>8</v>
      </c>
      <c r="D158" t="s">
        <v>8</v>
      </c>
      <c r="E158">
        <f>IF(C158="No", IF(D158="Yes", "Priority 1", "Priority 2"), "None")</f>
        <v>0</v>
      </c>
    </row>
    <row r="159" spans="1:5">
      <c r="A159" t="s">
        <v>994</v>
      </c>
      <c r="B159" t="s">
        <v>995</v>
      </c>
      <c r="C159" t="s">
        <v>8</v>
      </c>
      <c r="D159" t="s">
        <v>8</v>
      </c>
      <c r="E159">
        <f>IF(C159="No", IF(D159="Yes", "Priority 1", "Priority 2"), "None")</f>
        <v>0</v>
      </c>
    </row>
    <row r="160" spans="1:5">
      <c r="A160" t="s">
        <v>75</v>
      </c>
      <c r="B160" t="s">
        <v>995</v>
      </c>
      <c r="C160" t="s">
        <v>8</v>
      </c>
      <c r="D160" t="s">
        <v>8</v>
      </c>
      <c r="E160">
        <f>IF(C160="No", IF(D160="Yes", "Priority 1", "Priority 2"), "None")</f>
        <v>0</v>
      </c>
    </row>
    <row r="161" spans="1:5">
      <c r="A161" t="s">
        <v>996</v>
      </c>
      <c r="B161" t="s">
        <v>581</v>
      </c>
      <c r="C161" t="s">
        <v>8</v>
      </c>
      <c r="D161" t="s">
        <v>8</v>
      </c>
      <c r="E161">
        <f>IF(C161="No", IF(D161="Yes", "Priority 1", "Priority 2"), "None")</f>
        <v>0</v>
      </c>
    </row>
    <row r="162" spans="1:5">
      <c r="A162" t="s">
        <v>997</v>
      </c>
      <c r="B162" t="s">
        <v>998</v>
      </c>
      <c r="C162" t="s">
        <v>8</v>
      </c>
      <c r="D162" t="s">
        <v>8</v>
      </c>
      <c r="E162">
        <f>IF(C162="No", IF(D162="Yes", "Priority 1", "Priority 2"), "None")</f>
        <v>0</v>
      </c>
    </row>
    <row r="163" spans="1:5">
      <c r="A163" t="s">
        <v>999</v>
      </c>
      <c r="B163" t="s">
        <v>567</v>
      </c>
      <c r="C163" t="s">
        <v>8</v>
      </c>
      <c r="D163" t="s">
        <v>8</v>
      </c>
      <c r="E163">
        <f>IF(C163="No", IF(D163="Yes", "Priority 1", "Priority 2"), "None")</f>
        <v>0</v>
      </c>
    </row>
    <row r="164" spans="1:5">
      <c r="A164" t="s">
        <v>1000</v>
      </c>
      <c r="B164" t="s">
        <v>1001</v>
      </c>
      <c r="C164" t="s">
        <v>8</v>
      </c>
      <c r="D164" t="s">
        <v>8</v>
      </c>
      <c r="E164">
        <f>IF(C164="No", IF(D164="Yes", "Priority 1", "Priority 2"), "None")</f>
        <v>0</v>
      </c>
    </row>
    <row r="165" spans="1:5">
      <c r="A165" t="s">
        <v>1002</v>
      </c>
      <c r="B165" t="s">
        <v>1001</v>
      </c>
      <c r="C165" t="s">
        <v>8</v>
      </c>
      <c r="D165" t="s">
        <v>8</v>
      </c>
      <c r="E165">
        <f>IF(C165="No", IF(D165="Yes", "Priority 1", "Priority 2"), "None")</f>
        <v>0</v>
      </c>
    </row>
    <row r="166" spans="1:5">
      <c r="A166" t="s">
        <v>1003</v>
      </c>
      <c r="B166" t="s">
        <v>1004</v>
      </c>
      <c r="C166" t="s">
        <v>8</v>
      </c>
      <c r="D166" t="s">
        <v>8</v>
      </c>
      <c r="E166">
        <f>IF(C166="No", IF(D166="Yes", "Priority 1", "Priority 2"), "None")</f>
        <v>0</v>
      </c>
    </row>
    <row r="167" spans="1:5">
      <c r="A167" t="s">
        <v>1005</v>
      </c>
      <c r="B167" t="s">
        <v>1006</v>
      </c>
      <c r="C167" t="s">
        <v>8</v>
      </c>
      <c r="D167" t="s">
        <v>8</v>
      </c>
      <c r="E167">
        <f>IF(C167="No", IF(D167="Yes", "Priority 1", "Priority 2"), "None")</f>
        <v>0</v>
      </c>
    </row>
    <row r="168" spans="1:5">
      <c r="A168" t="s">
        <v>1007</v>
      </c>
      <c r="B168" t="s">
        <v>1006</v>
      </c>
      <c r="C168" t="s">
        <v>8</v>
      </c>
      <c r="D168" t="s">
        <v>8</v>
      </c>
      <c r="E168">
        <f>IF(C168="No", IF(D168="Yes", "Priority 1", "Priority 2"), "None")</f>
        <v>0</v>
      </c>
    </row>
    <row r="169" spans="1:5">
      <c r="A169" t="s">
        <v>865</v>
      </c>
      <c r="B169" t="s">
        <v>1008</v>
      </c>
      <c r="C169" t="s">
        <v>8</v>
      </c>
      <c r="D169" t="s">
        <v>8</v>
      </c>
      <c r="E169">
        <f>IF(C169="No", IF(D169="Yes", "Priority 1", "Priority 2"), "None")</f>
        <v>0</v>
      </c>
    </row>
    <row r="170" spans="1:5">
      <c r="A170" t="s">
        <v>1009</v>
      </c>
      <c r="B170" t="s">
        <v>593</v>
      </c>
      <c r="C170" t="s">
        <v>8</v>
      </c>
      <c r="D170" t="s">
        <v>8</v>
      </c>
      <c r="E170">
        <f>IF(C170="No", IF(D170="Yes", "Priority 1", "Priority 2"), "None")</f>
        <v>0</v>
      </c>
    </row>
    <row r="171" spans="1:5">
      <c r="A171" t="s">
        <v>1010</v>
      </c>
      <c r="B171" t="s">
        <v>1011</v>
      </c>
      <c r="C171" t="s">
        <v>8</v>
      </c>
      <c r="D171" t="s">
        <v>8</v>
      </c>
      <c r="E171">
        <f>IF(C171="No", IF(D171="Yes", "Priority 1", "Priority 2"), "None")</f>
        <v>0</v>
      </c>
    </row>
    <row r="172" spans="1:5">
      <c r="A172" t="s">
        <v>713</v>
      </c>
      <c r="B172" t="s">
        <v>1012</v>
      </c>
      <c r="C172" t="s">
        <v>8</v>
      </c>
      <c r="D172" t="s">
        <v>322</v>
      </c>
      <c r="E172">
        <f>IF(C172="No", IF(D172="Yes", "Priority 1", "Priority 2"), "None")</f>
        <v>0</v>
      </c>
    </row>
    <row r="173" spans="1:5">
      <c r="A173" t="s">
        <v>1013</v>
      </c>
      <c r="B173" t="s">
        <v>1014</v>
      </c>
      <c r="C173" t="s">
        <v>8</v>
      </c>
      <c r="D173" t="s">
        <v>8</v>
      </c>
      <c r="E173">
        <f>IF(C173="No", IF(D173="Yes", "Priority 1", "Priority 2"), "None")</f>
        <v>0</v>
      </c>
    </row>
    <row r="174" spans="1:5">
      <c r="A174" t="s">
        <v>1015</v>
      </c>
      <c r="B174" t="s">
        <v>615</v>
      </c>
      <c r="C174" t="s">
        <v>8</v>
      </c>
      <c r="D174" t="s">
        <v>8</v>
      </c>
      <c r="E174">
        <f>IF(C174="No", IF(D174="Yes", "Priority 1", "Priority 2"), "None")</f>
        <v>0</v>
      </c>
    </row>
    <row r="175" spans="1:5">
      <c r="A175" t="s">
        <v>1016</v>
      </c>
      <c r="B175" t="s">
        <v>1017</v>
      </c>
      <c r="C175" t="s">
        <v>8</v>
      </c>
      <c r="D175" t="s">
        <v>8</v>
      </c>
      <c r="E175">
        <f>IF(C175="No", IF(D175="Yes", "Priority 1", "Priority 2"), "None")</f>
        <v>0</v>
      </c>
    </row>
    <row r="176" spans="1:5">
      <c r="A176" t="s">
        <v>1018</v>
      </c>
      <c r="B176" t="s">
        <v>1019</v>
      </c>
      <c r="C176" t="s">
        <v>8</v>
      </c>
      <c r="D176" t="s">
        <v>8</v>
      </c>
      <c r="E176">
        <f>IF(C176="No", IF(D176="Yes", "Priority 1", "Priority 2"), "None")</f>
        <v>0</v>
      </c>
    </row>
    <row r="177" spans="1:5">
      <c r="A177" t="s">
        <v>1020</v>
      </c>
      <c r="B177" t="s">
        <v>1021</v>
      </c>
      <c r="C177" t="s">
        <v>8</v>
      </c>
      <c r="D177" t="s">
        <v>8</v>
      </c>
      <c r="E177">
        <f>IF(C177="No", IF(D177="Yes", "Priority 1", "Priority 2"), "None")</f>
        <v>0</v>
      </c>
    </row>
    <row r="178" spans="1:5">
      <c r="A178" t="s">
        <v>1022</v>
      </c>
      <c r="B178" t="s">
        <v>609</v>
      </c>
      <c r="C178" t="s">
        <v>8</v>
      </c>
      <c r="D178" t="s">
        <v>8</v>
      </c>
      <c r="E178">
        <f>IF(C178="No", IF(D178="Yes", "Priority 1", "Priority 2"), "None")</f>
        <v>0</v>
      </c>
    </row>
    <row r="179" spans="1:5">
      <c r="A179" t="s">
        <v>1023</v>
      </c>
      <c r="B179" t="s">
        <v>609</v>
      </c>
      <c r="C179" t="s">
        <v>8</v>
      </c>
      <c r="D179" t="s">
        <v>8</v>
      </c>
      <c r="E179">
        <f>IF(C179="No", IF(D179="Yes", "Priority 1", "Priority 2"), "None")</f>
        <v>0</v>
      </c>
    </row>
    <row r="180" spans="1:5">
      <c r="A180" t="s">
        <v>1024</v>
      </c>
      <c r="B180" t="s">
        <v>1025</v>
      </c>
      <c r="C180" t="s">
        <v>8</v>
      </c>
      <c r="D180" t="s">
        <v>8</v>
      </c>
      <c r="E180">
        <f>IF(C180="No", IF(D180="Yes", "Priority 1", "Priority 2"), "None")</f>
        <v>0</v>
      </c>
    </row>
    <row r="181" spans="1:5">
      <c r="A181" t="s">
        <v>1026</v>
      </c>
      <c r="B181" t="s">
        <v>1025</v>
      </c>
      <c r="C181" t="s">
        <v>8</v>
      </c>
      <c r="D181" t="s">
        <v>8</v>
      </c>
      <c r="E181">
        <f>IF(C181="No", IF(D181="Yes", "Priority 1", "Priority 2"), "None")</f>
        <v>0</v>
      </c>
    </row>
    <row r="182" spans="1:5">
      <c r="A182" t="s">
        <v>1027</v>
      </c>
      <c r="B182" t="s">
        <v>1028</v>
      </c>
      <c r="C182" t="s">
        <v>8</v>
      </c>
      <c r="D182" t="s">
        <v>8</v>
      </c>
      <c r="E182">
        <f>IF(C182="No", IF(D182="Yes", "Priority 1", "Priority 2"), "None")</f>
        <v>0</v>
      </c>
    </row>
    <row r="183" spans="1:5">
      <c r="A183" t="s">
        <v>1029</v>
      </c>
      <c r="B183" t="s">
        <v>1030</v>
      </c>
      <c r="C183" t="s">
        <v>8</v>
      </c>
      <c r="D183" t="s">
        <v>8</v>
      </c>
      <c r="E183">
        <f>IF(C183="No", IF(D183="Yes", "Priority 1", "Priority 2"), "None")</f>
        <v>0</v>
      </c>
    </row>
    <row r="184" spans="1:5">
      <c r="A184" t="s">
        <v>1031</v>
      </c>
      <c r="B184" t="s">
        <v>1032</v>
      </c>
      <c r="C184" t="s">
        <v>8</v>
      </c>
      <c r="D184" t="s">
        <v>8</v>
      </c>
      <c r="E184">
        <f>IF(C184="No", IF(D184="Yes", "Priority 1", "Priority 2"), "None")</f>
        <v>0</v>
      </c>
    </row>
    <row r="185" spans="1:5">
      <c r="A185" t="s">
        <v>1033</v>
      </c>
      <c r="B185" t="s">
        <v>1034</v>
      </c>
      <c r="C185" t="s">
        <v>8</v>
      </c>
      <c r="D185" t="s">
        <v>8</v>
      </c>
      <c r="E185">
        <f>IF(C185="No", IF(D185="Yes", "Priority 1", "Priority 2"), "None")</f>
        <v>0</v>
      </c>
    </row>
    <row r="186" spans="1:5">
      <c r="A186" t="s">
        <v>1035</v>
      </c>
      <c r="B186" t="s">
        <v>652</v>
      </c>
      <c r="C186" t="s">
        <v>8</v>
      </c>
      <c r="D186" t="s">
        <v>8</v>
      </c>
      <c r="E186">
        <f>IF(C186="No", IF(D186="Yes", "Priority 1", "Priority 2"), "None")</f>
        <v>0</v>
      </c>
    </row>
    <row r="187" spans="1:5">
      <c r="A187" t="s">
        <v>1036</v>
      </c>
      <c r="B187" t="s">
        <v>649</v>
      </c>
      <c r="C187" t="s">
        <v>8</v>
      </c>
      <c r="D187" t="s">
        <v>8</v>
      </c>
      <c r="E187">
        <f>IF(C187="No", IF(D187="Yes", "Priority 1", "Priority 2"), "None")</f>
        <v>0</v>
      </c>
    </row>
    <row r="188" spans="1:5">
      <c r="A188" t="s">
        <v>1037</v>
      </c>
      <c r="B188" t="s">
        <v>1038</v>
      </c>
      <c r="C188" t="s">
        <v>8</v>
      </c>
      <c r="D188" t="s">
        <v>8</v>
      </c>
      <c r="E188">
        <f>IF(C188="No", IF(D188="Yes", "Priority 1", "Priority 2"), "None")</f>
        <v>0</v>
      </c>
    </row>
    <row r="189" spans="1:5">
      <c r="A189" t="s">
        <v>1039</v>
      </c>
      <c r="B189" t="s">
        <v>1040</v>
      </c>
      <c r="C189" t="s">
        <v>8</v>
      </c>
      <c r="D189" t="s">
        <v>8</v>
      </c>
      <c r="E189">
        <f>IF(C189="No", IF(D189="Yes", "Priority 1", "Priority 2"), "None")</f>
        <v>0</v>
      </c>
    </row>
    <row r="190" spans="1:5">
      <c r="A190" t="s">
        <v>806</v>
      </c>
      <c r="B190" t="s">
        <v>1041</v>
      </c>
      <c r="C190" t="s">
        <v>8</v>
      </c>
      <c r="D190" t="s">
        <v>8</v>
      </c>
      <c r="E190">
        <f>IF(C190="No", IF(D190="Yes", "Priority 1", "Priority 2"), "None")</f>
        <v>0</v>
      </c>
    </row>
    <row r="191" spans="1:5">
      <c r="A191" t="s">
        <v>1042</v>
      </c>
      <c r="B191" t="s">
        <v>1043</v>
      </c>
      <c r="C191" t="s">
        <v>8</v>
      </c>
      <c r="D191" t="s">
        <v>8</v>
      </c>
      <c r="E191">
        <f>IF(C191="No", IF(D191="Yes", "Priority 1", "Priority 2"), "None")</f>
        <v>0</v>
      </c>
    </row>
    <row r="192" spans="1:5">
      <c r="A192" t="s">
        <v>1044</v>
      </c>
      <c r="B192" t="s">
        <v>1045</v>
      </c>
      <c r="C192" t="s">
        <v>8</v>
      </c>
      <c r="D192" t="s">
        <v>8</v>
      </c>
      <c r="E192">
        <f>IF(C192="No", IF(D192="Yes", "Priority 1", "Priority 2"), "None")</f>
        <v>0</v>
      </c>
    </row>
    <row r="193" spans="1:5">
      <c r="A193" t="s">
        <v>1046</v>
      </c>
      <c r="B193" t="s">
        <v>681</v>
      </c>
      <c r="C193" t="s">
        <v>8</v>
      </c>
      <c r="D193" t="s">
        <v>8</v>
      </c>
      <c r="E193">
        <f>IF(C193="No", IF(D193="Yes", "Priority 1", "Priority 2"), "None")</f>
        <v>0</v>
      </c>
    </row>
    <row r="194" spans="1:5">
      <c r="A194" t="s">
        <v>1047</v>
      </c>
      <c r="B194" t="s">
        <v>1048</v>
      </c>
      <c r="C194" t="s">
        <v>8</v>
      </c>
      <c r="D194" t="s">
        <v>8</v>
      </c>
      <c r="E194">
        <f>IF(C194="No", IF(D194="Yes", "Priority 1", "Priority 2"), "None")</f>
        <v>0</v>
      </c>
    </row>
    <row r="195" spans="1:5">
      <c r="A195" t="s">
        <v>1049</v>
      </c>
      <c r="B195" t="s">
        <v>1050</v>
      </c>
      <c r="C195" t="s">
        <v>8</v>
      </c>
      <c r="D195" t="s">
        <v>8</v>
      </c>
      <c r="E195">
        <f>IF(C195="No", IF(D195="Yes", "Priority 1", "Priority 2"), "None")</f>
        <v>0</v>
      </c>
    </row>
    <row r="196" spans="1:5">
      <c r="A196" t="s">
        <v>1051</v>
      </c>
      <c r="B196" t="s">
        <v>1052</v>
      </c>
      <c r="C196" t="s">
        <v>8</v>
      </c>
      <c r="D196" t="s">
        <v>8</v>
      </c>
      <c r="E196">
        <f>IF(C196="No", IF(D196="Yes", "Priority 1", "Priority 2"), "None")</f>
        <v>0</v>
      </c>
    </row>
    <row r="197" spans="1:5">
      <c r="A197" t="s">
        <v>1053</v>
      </c>
      <c r="B197" t="s">
        <v>1054</v>
      </c>
      <c r="C197" t="s">
        <v>8</v>
      </c>
      <c r="D197" t="s">
        <v>8</v>
      </c>
      <c r="E197">
        <f>IF(C197="No", IF(D197="Yes", "Priority 1", "Priority 2"), "None")</f>
        <v>0</v>
      </c>
    </row>
    <row r="198" spans="1:5">
      <c r="A198" t="s">
        <v>1055</v>
      </c>
      <c r="B198" t="s">
        <v>705</v>
      </c>
      <c r="C198" t="s">
        <v>8</v>
      </c>
      <c r="D198" t="s">
        <v>8</v>
      </c>
      <c r="E198">
        <f>IF(C198="No", IF(D198="Yes", "Priority 1", "Priority 2"), "None")</f>
        <v>0</v>
      </c>
    </row>
    <row r="199" spans="1:5">
      <c r="A199" t="s">
        <v>654</v>
      </c>
      <c r="B199" t="s">
        <v>1056</v>
      </c>
      <c r="C199" t="s">
        <v>8</v>
      </c>
      <c r="D199" t="s">
        <v>8</v>
      </c>
      <c r="E199">
        <f>IF(C199="No", IF(D199="Yes", "Priority 1", "Priority 2"), "None")</f>
        <v>0</v>
      </c>
    </row>
    <row r="200" spans="1:5">
      <c r="A200" t="s">
        <v>1057</v>
      </c>
      <c r="B200" t="s">
        <v>727</v>
      </c>
      <c r="C200" t="s">
        <v>8</v>
      </c>
      <c r="D200" t="s">
        <v>8</v>
      </c>
      <c r="E200">
        <f>IF(C200="No", IF(D200="Yes", "Priority 1", "Priority 2"), "None")</f>
        <v>0</v>
      </c>
    </row>
    <row r="201" spans="1:5">
      <c r="A201" t="s">
        <v>383</v>
      </c>
      <c r="B201" t="s">
        <v>1058</v>
      </c>
      <c r="C201" t="s">
        <v>8</v>
      </c>
      <c r="D201" t="s">
        <v>8</v>
      </c>
      <c r="E201">
        <f>IF(C201="No", IF(D201="Yes", "Priority 1", "Priority 2"), "None")</f>
        <v>0</v>
      </c>
    </row>
    <row r="202" spans="1:5">
      <c r="A202" t="s">
        <v>1059</v>
      </c>
      <c r="B202" t="s">
        <v>1060</v>
      </c>
      <c r="C202" t="s">
        <v>8</v>
      </c>
      <c r="D202" t="s">
        <v>8</v>
      </c>
      <c r="E202">
        <f>IF(C202="No", IF(D202="Yes", "Priority 1", "Priority 2"), "None")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87"/>
  <sheetViews>
    <sheetView workbookViewId="0"/>
  </sheetViews>
  <sheetFormatPr defaultRowHeight="15"/>
  <cols>
    <col min="1" max="10" width="15.7109375" customWidth="1"/>
  </cols>
  <sheetData>
    <row r="1" spans="1:10">
      <c r="A1" s="1" t="s">
        <v>1061</v>
      </c>
      <c r="B1" s="1" t="s">
        <v>1062</v>
      </c>
      <c r="C1" s="1" t="s">
        <v>1063</v>
      </c>
      <c r="D1" s="1" t="s">
        <v>1064</v>
      </c>
      <c r="E1" s="1" t="s">
        <v>1065</v>
      </c>
      <c r="F1" s="1" t="s">
        <v>1066</v>
      </c>
      <c r="G1" s="1" t="s">
        <v>1067</v>
      </c>
      <c r="H1" s="1" t="s">
        <v>1068</v>
      </c>
      <c r="I1" s="1" t="s">
        <v>1069</v>
      </c>
      <c r="J1" s="1" t="s">
        <v>4</v>
      </c>
    </row>
    <row r="2" spans="1:10">
      <c r="A2" t="s">
        <v>1070</v>
      </c>
      <c r="B2" t="s">
        <v>1071</v>
      </c>
      <c r="C2">
        <v>24</v>
      </c>
      <c r="D2">
        <v>51</v>
      </c>
      <c r="E2">
        <f>MAX(ROUNDUP(D2, 0), C2)</f>
        <v>0</v>
      </c>
      <c r="F2" s="2">
        <v>10.4</v>
      </c>
      <c r="G2" s="2">
        <f>E2*F2</f>
        <v>0</v>
      </c>
      <c r="H2" s="2">
        <v>530.4</v>
      </c>
      <c r="I2" s="2">
        <f>ROUND(H2-G2, 2)</f>
        <v>0</v>
      </c>
      <c r="J2">
        <f>IF(ABS(I2)&gt;0.01, "Priority 3", "None")</f>
        <v>0</v>
      </c>
    </row>
    <row r="3" spans="1:10">
      <c r="A3" t="s">
        <v>1072</v>
      </c>
      <c r="B3" t="s">
        <v>1071</v>
      </c>
      <c r="C3">
        <v>40</v>
      </c>
      <c r="D3">
        <v>21.9</v>
      </c>
      <c r="E3">
        <f>MAX(ROUNDUP(D3, 0), C3)</f>
        <v>0</v>
      </c>
      <c r="F3" s="2">
        <v>10.4</v>
      </c>
      <c r="G3" s="2">
        <f>E3*F3</f>
        <v>0</v>
      </c>
      <c r="H3" s="2">
        <v>416</v>
      </c>
      <c r="I3" s="2">
        <f>ROUND(H3-G3, 2)</f>
        <v>0</v>
      </c>
      <c r="J3">
        <f>IF(ABS(I3)&gt;0.01, "Priority 3", "None")</f>
        <v>0</v>
      </c>
    </row>
    <row r="4" spans="1:10">
      <c r="A4" t="s">
        <v>1073</v>
      </c>
      <c r="B4" t="s">
        <v>1071</v>
      </c>
      <c r="C4">
        <v>28</v>
      </c>
      <c r="D4">
        <v>32.7</v>
      </c>
      <c r="E4">
        <f>MAX(ROUNDUP(D4, 0), C4)</f>
        <v>0</v>
      </c>
      <c r="F4" s="2">
        <v>10.4</v>
      </c>
      <c r="G4" s="2">
        <f>E4*F4</f>
        <v>0</v>
      </c>
      <c r="H4" s="2">
        <v>343.2</v>
      </c>
      <c r="I4" s="2">
        <f>ROUND(H4-G4, 2)</f>
        <v>0</v>
      </c>
      <c r="J4">
        <f>IF(ABS(I4)&gt;0.01, "Priority 3", "None")</f>
        <v>0</v>
      </c>
    </row>
    <row r="5" spans="1:10">
      <c r="A5" t="s">
        <v>1074</v>
      </c>
      <c r="B5" t="s">
        <v>1071</v>
      </c>
      <c r="C5">
        <v>24</v>
      </c>
      <c r="D5">
        <v>42.8</v>
      </c>
      <c r="E5">
        <f>MAX(ROUNDUP(D5, 0), C5)</f>
        <v>0</v>
      </c>
      <c r="F5" s="2">
        <v>10.4</v>
      </c>
      <c r="G5" s="2">
        <f>E5*F5</f>
        <v>0</v>
      </c>
      <c r="H5" s="2">
        <v>447.2</v>
      </c>
      <c r="I5" s="2">
        <f>ROUND(H5-G5, 2)</f>
        <v>0</v>
      </c>
      <c r="J5">
        <f>IF(ABS(I5)&gt;0.01, "Priority 3", "None")</f>
        <v>0</v>
      </c>
    </row>
    <row r="6" spans="1:10">
      <c r="A6" t="s">
        <v>1075</v>
      </c>
      <c r="B6" t="s">
        <v>1071</v>
      </c>
      <c r="C6">
        <v>36</v>
      </c>
      <c r="D6">
        <v>39</v>
      </c>
      <c r="E6">
        <f>MAX(ROUNDUP(D6, 0), C6)</f>
        <v>0</v>
      </c>
      <c r="F6" s="2">
        <v>10.4</v>
      </c>
      <c r="G6" s="2">
        <f>E6*F6</f>
        <v>0</v>
      </c>
      <c r="H6" s="2">
        <v>405.6</v>
      </c>
      <c r="I6" s="2">
        <f>ROUND(H6-G6, 2)</f>
        <v>0</v>
      </c>
      <c r="J6">
        <f>IF(ABS(I6)&gt;0.01, "Priority 3", "None")</f>
        <v>0</v>
      </c>
    </row>
    <row r="7" spans="1:10">
      <c r="A7" t="s">
        <v>1076</v>
      </c>
      <c r="B7" t="s">
        <v>1071</v>
      </c>
      <c r="C7">
        <v>24</v>
      </c>
      <c r="D7">
        <v>39</v>
      </c>
      <c r="E7">
        <f>MAX(ROUNDUP(D7, 0), C7)</f>
        <v>0</v>
      </c>
      <c r="F7" s="2">
        <v>10.4</v>
      </c>
      <c r="G7" s="2">
        <f>E7*F7</f>
        <v>0</v>
      </c>
      <c r="H7" s="2">
        <v>405.6</v>
      </c>
      <c r="I7" s="2">
        <f>ROUND(H7-G7, 2)</f>
        <v>0</v>
      </c>
      <c r="J7">
        <f>IF(ABS(I7)&gt;0.01, "Priority 3", "None")</f>
        <v>0</v>
      </c>
    </row>
    <row r="8" spans="1:10">
      <c r="A8" t="s">
        <v>1077</v>
      </c>
      <c r="B8" t="s">
        <v>1071</v>
      </c>
      <c r="C8">
        <v>24</v>
      </c>
      <c r="D8">
        <v>30.4</v>
      </c>
      <c r="E8">
        <f>MAX(ROUNDUP(D8, 0), C8)</f>
        <v>0</v>
      </c>
      <c r="F8" s="2">
        <v>10.4</v>
      </c>
      <c r="G8" s="2">
        <f>E8*F8</f>
        <v>0</v>
      </c>
      <c r="H8" s="2">
        <v>322.4</v>
      </c>
      <c r="I8" s="2">
        <f>ROUND(H8-G8, 2)</f>
        <v>0</v>
      </c>
      <c r="J8">
        <f>IF(ABS(I8)&gt;0.01, "Priority 3", "None")</f>
        <v>0</v>
      </c>
    </row>
    <row r="9" spans="1:10">
      <c r="A9" t="s">
        <v>1078</v>
      </c>
      <c r="B9" t="s">
        <v>1071</v>
      </c>
      <c r="C9">
        <v>32</v>
      </c>
      <c r="D9">
        <v>23.4</v>
      </c>
      <c r="E9">
        <f>MAX(ROUNDUP(D9, 0), C9)</f>
        <v>0</v>
      </c>
      <c r="F9" s="2">
        <v>10.4</v>
      </c>
      <c r="G9" s="2">
        <f>E9*F9</f>
        <v>0</v>
      </c>
      <c r="H9" s="2">
        <v>332.8</v>
      </c>
      <c r="I9" s="2">
        <f>ROUND(H9-G9, 2)</f>
        <v>0</v>
      </c>
      <c r="J9">
        <f>IF(ABS(I9)&gt;0.01, "Priority 3", "None")</f>
        <v>0</v>
      </c>
    </row>
    <row r="10" spans="1:10">
      <c r="A10" t="s">
        <v>1079</v>
      </c>
      <c r="B10" t="s">
        <v>1071</v>
      </c>
      <c r="C10">
        <v>32</v>
      </c>
      <c r="D10">
        <v>20.8</v>
      </c>
      <c r="E10">
        <f>MAX(ROUNDUP(D10, 0), C10)</f>
        <v>0</v>
      </c>
      <c r="F10" s="2">
        <v>10.4</v>
      </c>
      <c r="G10" s="2">
        <f>E10*F10</f>
        <v>0</v>
      </c>
      <c r="H10" s="2">
        <v>332.8</v>
      </c>
      <c r="I10" s="2">
        <f>ROUND(H10-G10, 2)</f>
        <v>0</v>
      </c>
      <c r="J10">
        <f>IF(ABS(I10)&gt;0.01, "Priority 3", "None")</f>
        <v>0</v>
      </c>
    </row>
    <row r="11" spans="1:10">
      <c r="A11" t="s">
        <v>1080</v>
      </c>
      <c r="B11" t="s">
        <v>1071</v>
      </c>
      <c r="C11">
        <v>28</v>
      </c>
      <c r="D11">
        <v>26</v>
      </c>
      <c r="E11">
        <f>MAX(ROUNDUP(D11, 0), C11)</f>
        <v>0</v>
      </c>
      <c r="F11" s="2">
        <v>10.4</v>
      </c>
      <c r="G11" s="2">
        <f>E11*F11</f>
        <v>0</v>
      </c>
      <c r="H11" s="2">
        <v>291.2</v>
      </c>
      <c r="I11" s="2">
        <f>ROUND(H11-G11, 2)</f>
        <v>0</v>
      </c>
      <c r="J11">
        <f>IF(ABS(I11)&gt;0.01, "Priority 3", "None")</f>
        <v>0</v>
      </c>
    </row>
    <row r="12" spans="1:10">
      <c r="A12" t="s">
        <v>1081</v>
      </c>
      <c r="B12" t="s">
        <v>1071</v>
      </c>
      <c r="C12">
        <v>40</v>
      </c>
      <c r="D12">
        <v>53.5</v>
      </c>
      <c r="E12">
        <f>MAX(ROUNDUP(D12, 0), C12)</f>
        <v>0</v>
      </c>
      <c r="F12" s="2">
        <v>10.4</v>
      </c>
      <c r="G12" s="2">
        <f>E12*F12</f>
        <v>0</v>
      </c>
      <c r="H12" s="2">
        <v>561.6</v>
      </c>
      <c r="I12" s="2">
        <f>ROUND(H12-G12, 2)</f>
        <v>0</v>
      </c>
      <c r="J12">
        <f>IF(ABS(I12)&gt;0.01, "Priority 3", "None")</f>
        <v>0</v>
      </c>
    </row>
    <row r="13" spans="1:10">
      <c r="A13" t="s">
        <v>1082</v>
      </c>
      <c r="B13" t="s">
        <v>1071</v>
      </c>
      <c r="C13">
        <v>36</v>
      </c>
      <c r="D13">
        <v>26</v>
      </c>
      <c r="E13">
        <f>MAX(ROUNDUP(D13, 0), C13)</f>
        <v>0</v>
      </c>
      <c r="F13" s="2">
        <v>10.4</v>
      </c>
      <c r="G13" s="2">
        <f>E13*F13</f>
        <v>0</v>
      </c>
      <c r="H13" s="2">
        <v>374.4</v>
      </c>
      <c r="I13" s="2">
        <f>ROUND(H13-G13, 2)</f>
        <v>0</v>
      </c>
      <c r="J13">
        <f>IF(ABS(I13)&gt;0.01, "Priority 3", "None")</f>
        <v>0</v>
      </c>
    </row>
    <row r="14" spans="1:10">
      <c r="A14" t="s">
        <v>1083</v>
      </c>
      <c r="B14" t="s">
        <v>1071</v>
      </c>
      <c r="C14">
        <v>24</v>
      </c>
      <c r="D14">
        <v>28.2</v>
      </c>
      <c r="E14">
        <f>MAX(ROUNDUP(D14, 0), C14)</f>
        <v>0</v>
      </c>
      <c r="F14" s="2">
        <v>10.4</v>
      </c>
      <c r="G14" s="2">
        <f>E14*F14</f>
        <v>0</v>
      </c>
      <c r="H14" s="2">
        <v>301.6</v>
      </c>
      <c r="I14" s="2">
        <f>ROUND(H14-G14, 2)</f>
        <v>0</v>
      </c>
      <c r="J14">
        <f>IF(ABS(I14)&gt;0.01, "Priority 3", "None")</f>
        <v>0</v>
      </c>
    </row>
    <row r="15" spans="1:10">
      <c r="A15" t="s">
        <v>1084</v>
      </c>
      <c r="B15" t="s">
        <v>1071</v>
      </c>
      <c r="C15">
        <v>28</v>
      </c>
      <c r="D15">
        <v>18.8</v>
      </c>
      <c r="E15">
        <f>MAX(ROUNDUP(D15, 0), C15)</f>
        <v>0</v>
      </c>
      <c r="F15" s="2">
        <v>10.4</v>
      </c>
      <c r="G15" s="2">
        <f>E15*F15</f>
        <v>0</v>
      </c>
      <c r="H15" s="2">
        <v>291.2</v>
      </c>
      <c r="I15" s="2">
        <f>ROUND(H15-G15, 2)</f>
        <v>0</v>
      </c>
      <c r="J15">
        <f>IF(ABS(I15)&gt;0.01, "Priority 3", "None")</f>
        <v>0</v>
      </c>
    </row>
    <row r="16" spans="1:10">
      <c r="A16" t="s">
        <v>1085</v>
      </c>
      <c r="B16" t="s">
        <v>1071</v>
      </c>
      <c r="C16">
        <v>28</v>
      </c>
      <c r="D16">
        <v>19.2</v>
      </c>
      <c r="E16">
        <f>MAX(ROUNDUP(D16, 0), C16)</f>
        <v>0</v>
      </c>
      <c r="F16" s="2">
        <v>10.4</v>
      </c>
      <c r="G16" s="2">
        <f>E16*F16</f>
        <v>0</v>
      </c>
      <c r="H16" s="2">
        <v>291.2</v>
      </c>
      <c r="I16" s="2">
        <f>ROUND(H16-G16, 2)</f>
        <v>0</v>
      </c>
      <c r="J16">
        <f>IF(ABS(I16)&gt;0.01, "Priority 3", "None")</f>
        <v>0</v>
      </c>
    </row>
    <row r="17" spans="1:10">
      <c r="A17" t="s">
        <v>1086</v>
      </c>
      <c r="B17" t="s">
        <v>1071</v>
      </c>
      <c r="C17">
        <v>32</v>
      </c>
      <c r="D17">
        <v>28.7</v>
      </c>
      <c r="E17">
        <f>MAX(ROUNDUP(D17, 0), C17)</f>
        <v>0</v>
      </c>
      <c r="F17" s="2">
        <v>10.4</v>
      </c>
      <c r="G17" s="2">
        <f>E17*F17</f>
        <v>0</v>
      </c>
      <c r="H17" s="2">
        <v>332.8</v>
      </c>
      <c r="I17" s="2">
        <f>ROUND(H17-G17, 2)</f>
        <v>0</v>
      </c>
      <c r="J17">
        <f>IF(ABS(I17)&gt;0.01, "Priority 3", "None")</f>
        <v>0</v>
      </c>
    </row>
    <row r="18" spans="1:10">
      <c r="A18" t="s">
        <v>1087</v>
      </c>
      <c r="B18" t="s">
        <v>1071</v>
      </c>
      <c r="C18">
        <v>24</v>
      </c>
      <c r="D18">
        <v>22.1</v>
      </c>
      <c r="E18">
        <f>MAX(ROUNDUP(D18, 0), C18)</f>
        <v>0</v>
      </c>
      <c r="F18" s="2">
        <v>10.4</v>
      </c>
      <c r="G18" s="2">
        <f>E18*F18</f>
        <v>0</v>
      </c>
      <c r="H18" s="2">
        <v>249.6</v>
      </c>
      <c r="I18" s="2">
        <f>ROUND(H18-G18, 2)</f>
        <v>0</v>
      </c>
      <c r="J18">
        <f>IF(ABS(I18)&gt;0.01, "Priority 3", "None")</f>
        <v>0</v>
      </c>
    </row>
    <row r="19" spans="1:10">
      <c r="A19" t="s">
        <v>1088</v>
      </c>
      <c r="B19" t="s">
        <v>1071</v>
      </c>
      <c r="C19">
        <v>24</v>
      </c>
      <c r="D19">
        <v>43.5</v>
      </c>
      <c r="E19">
        <f>MAX(ROUNDUP(D19, 0), C19)</f>
        <v>0</v>
      </c>
      <c r="F19" s="2">
        <v>10.4</v>
      </c>
      <c r="G19" s="2">
        <f>E19*F19</f>
        <v>0</v>
      </c>
      <c r="H19" s="2">
        <v>457.6</v>
      </c>
      <c r="I19" s="2">
        <f>ROUND(H19-G19, 2)</f>
        <v>0</v>
      </c>
      <c r="J19">
        <f>IF(ABS(I19)&gt;0.01, "Priority 3", "None")</f>
        <v>0</v>
      </c>
    </row>
    <row r="20" spans="1:10">
      <c r="A20" t="s">
        <v>1089</v>
      </c>
      <c r="B20" t="s">
        <v>1071</v>
      </c>
      <c r="C20">
        <v>32</v>
      </c>
      <c r="D20">
        <v>30.8</v>
      </c>
      <c r="E20">
        <f>MAX(ROUNDUP(D20, 0), C20)</f>
        <v>0</v>
      </c>
      <c r="F20" s="2">
        <v>10.4</v>
      </c>
      <c r="G20" s="2">
        <f>E20*F20</f>
        <v>0</v>
      </c>
      <c r="H20" s="2">
        <v>332.8</v>
      </c>
      <c r="I20" s="2">
        <f>ROUND(H20-G20, 2)</f>
        <v>0</v>
      </c>
      <c r="J20">
        <f>IF(ABS(I20)&gt;0.01, "Priority 3", "None")</f>
        <v>0</v>
      </c>
    </row>
    <row r="21" spans="1:10">
      <c r="A21" t="s">
        <v>1090</v>
      </c>
      <c r="B21" t="s">
        <v>1071</v>
      </c>
      <c r="C21">
        <v>32</v>
      </c>
      <c r="D21">
        <v>51.3</v>
      </c>
      <c r="E21">
        <f>MAX(ROUNDUP(D21, 0), C21)</f>
        <v>0</v>
      </c>
      <c r="F21" s="2">
        <v>10.4</v>
      </c>
      <c r="G21" s="2">
        <f>E21*F21</f>
        <v>0</v>
      </c>
      <c r="H21" s="2">
        <v>540.8</v>
      </c>
      <c r="I21" s="2">
        <f>ROUND(H21-G21, 2)</f>
        <v>0</v>
      </c>
      <c r="J21">
        <f>IF(ABS(I21)&gt;0.01, "Priority 3", "None")</f>
        <v>0</v>
      </c>
    </row>
    <row r="22" spans="1:10">
      <c r="A22" t="s">
        <v>1091</v>
      </c>
      <c r="B22" t="s">
        <v>1071</v>
      </c>
      <c r="C22">
        <v>36</v>
      </c>
      <c r="D22">
        <v>48.2</v>
      </c>
      <c r="E22">
        <f>MAX(ROUNDUP(D22, 0), C22)</f>
        <v>0</v>
      </c>
      <c r="F22" s="2">
        <v>10.4</v>
      </c>
      <c r="G22" s="2">
        <f>E22*F22</f>
        <v>0</v>
      </c>
      <c r="H22" s="2">
        <v>509.6</v>
      </c>
      <c r="I22" s="2">
        <f>ROUND(H22-G22, 2)</f>
        <v>0</v>
      </c>
      <c r="J22">
        <f>IF(ABS(I22)&gt;0.01, "Priority 3", "None")</f>
        <v>0</v>
      </c>
    </row>
    <row r="23" spans="1:10">
      <c r="A23" t="s">
        <v>1092</v>
      </c>
      <c r="B23" t="s">
        <v>1071</v>
      </c>
      <c r="C23">
        <v>32</v>
      </c>
      <c r="D23">
        <v>25.3</v>
      </c>
      <c r="E23">
        <f>MAX(ROUNDUP(D23, 0), C23)</f>
        <v>0</v>
      </c>
      <c r="F23" s="2">
        <v>10.4</v>
      </c>
      <c r="G23" s="2">
        <f>E23*F23</f>
        <v>0</v>
      </c>
      <c r="H23" s="2">
        <v>332.8</v>
      </c>
      <c r="I23" s="2">
        <f>ROUND(H23-G23, 2)</f>
        <v>0</v>
      </c>
      <c r="J23">
        <f>IF(ABS(I23)&gt;0.01, "Priority 3", "None")</f>
        <v>0</v>
      </c>
    </row>
    <row r="24" spans="1:10">
      <c r="A24" t="s">
        <v>1093</v>
      </c>
      <c r="B24" t="s">
        <v>1071</v>
      </c>
      <c r="C24">
        <v>28</v>
      </c>
      <c r="D24">
        <v>38.8</v>
      </c>
      <c r="E24">
        <f>MAX(ROUNDUP(D24, 0), C24)</f>
        <v>0</v>
      </c>
      <c r="F24" s="2">
        <v>10.4</v>
      </c>
      <c r="G24" s="2">
        <f>E24*F24</f>
        <v>0</v>
      </c>
      <c r="H24" s="2">
        <v>405.6</v>
      </c>
      <c r="I24" s="2">
        <f>ROUND(H24-G24, 2)</f>
        <v>0</v>
      </c>
      <c r="J24">
        <f>IF(ABS(I24)&gt;0.01, "Priority 3", "None")</f>
        <v>0</v>
      </c>
    </row>
    <row r="25" spans="1:10">
      <c r="A25" t="s">
        <v>1094</v>
      </c>
      <c r="B25" t="s">
        <v>1071</v>
      </c>
      <c r="C25">
        <v>36</v>
      </c>
      <c r="D25">
        <v>51.3</v>
      </c>
      <c r="E25">
        <f>MAX(ROUNDUP(D25, 0), C25)</f>
        <v>0</v>
      </c>
      <c r="F25" s="2">
        <v>10.4</v>
      </c>
      <c r="G25" s="2">
        <f>E25*F25</f>
        <v>0</v>
      </c>
      <c r="H25" s="2">
        <v>540.8</v>
      </c>
      <c r="I25" s="2">
        <f>ROUND(H25-G25, 2)</f>
        <v>0</v>
      </c>
      <c r="J25">
        <f>IF(ABS(I25)&gt;0.01, "Priority 3", "None")</f>
        <v>0</v>
      </c>
    </row>
    <row r="26" spans="1:10">
      <c r="A26" t="s">
        <v>1095</v>
      </c>
      <c r="B26" t="s">
        <v>1071</v>
      </c>
      <c r="C26">
        <v>36</v>
      </c>
      <c r="D26">
        <v>37.5</v>
      </c>
      <c r="E26">
        <f>MAX(ROUNDUP(D26, 0), C26)</f>
        <v>0</v>
      </c>
      <c r="F26" s="2">
        <v>10.4</v>
      </c>
      <c r="G26" s="2">
        <f>E26*F26</f>
        <v>0</v>
      </c>
      <c r="H26" s="2">
        <v>395.2</v>
      </c>
      <c r="I26" s="2">
        <f>ROUND(H26-G26, 2)</f>
        <v>0</v>
      </c>
      <c r="J26">
        <f>IF(ABS(I26)&gt;0.01, "Priority 3", "None")</f>
        <v>0</v>
      </c>
    </row>
    <row r="27" spans="1:10">
      <c r="A27" t="s">
        <v>1096</v>
      </c>
      <c r="B27" t="s">
        <v>1071</v>
      </c>
      <c r="C27">
        <v>28</v>
      </c>
      <c r="D27">
        <v>28.3</v>
      </c>
      <c r="E27">
        <f>MAX(ROUNDUP(D27, 0), C27)</f>
        <v>0</v>
      </c>
      <c r="F27" s="2">
        <v>10.4</v>
      </c>
      <c r="G27" s="2">
        <f>E27*F27</f>
        <v>0</v>
      </c>
      <c r="H27" s="2">
        <v>301.6</v>
      </c>
      <c r="I27" s="2">
        <f>ROUND(H27-G27, 2)</f>
        <v>0</v>
      </c>
      <c r="J27">
        <f>IF(ABS(I27)&gt;0.01, "Priority 3", "None")</f>
        <v>0</v>
      </c>
    </row>
    <row r="28" spans="1:10">
      <c r="A28" t="s">
        <v>1097</v>
      </c>
      <c r="B28" t="s">
        <v>1071</v>
      </c>
      <c r="C28">
        <v>28</v>
      </c>
      <c r="D28">
        <v>35.6</v>
      </c>
      <c r="E28">
        <f>MAX(ROUNDUP(D28, 0), C28)</f>
        <v>0</v>
      </c>
      <c r="F28" s="2">
        <v>10.4</v>
      </c>
      <c r="G28" s="2">
        <f>E28*F28</f>
        <v>0</v>
      </c>
      <c r="H28" s="2">
        <v>374.4</v>
      </c>
      <c r="I28" s="2">
        <f>ROUND(H28-G28, 2)</f>
        <v>0</v>
      </c>
      <c r="J28">
        <f>IF(ABS(I28)&gt;0.01, "Priority 3", "None")</f>
        <v>0</v>
      </c>
    </row>
    <row r="29" spans="1:10">
      <c r="A29" t="s">
        <v>1098</v>
      </c>
      <c r="B29" t="s">
        <v>1071</v>
      </c>
      <c r="C29">
        <v>40</v>
      </c>
      <c r="D29">
        <v>23</v>
      </c>
      <c r="E29">
        <f>MAX(ROUNDUP(D29, 0), C29)</f>
        <v>0</v>
      </c>
      <c r="F29" s="2">
        <v>10.4</v>
      </c>
      <c r="G29" s="2">
        <f>E29*F29</f>
        <v>0</v>
      </c>
      <c r="H29" s="2">
        <v>416</v>
      </c>
      <c r="I29" s="2">
        <f>ROUND(H29-G29, 2)</f>
        <v>0</v>
      </c>
      <c r="J29">
        <f>IF(ABS(I29)&gt;0.01, "Priority 3", "None")</f>
        <v>0</v>
      </c>
    </row>
    <row r="30" spans="1:10">
      <c r="A30" t="s">
        <v>1099</v>
      </c>
      <c r="B30" t="s">
        <v>1071</v>
      </c>
      <c r="C30">
        <v>24</v>
      </c>
      <c r="D30">
        <v>41.4</v>
      </c>
      <c r="E30">
        <f>MAX(ROUNDUP(D30, 0), C30)</f>
        <v>0</v>
      </c>
      <c r="F30" s="2">
        <v>10.4</v>
      </c>
      <c r="G30" s="2">
        <f>E30*F30</f>
        <v>0</v>
      </c>
      <c r="H30" s="2">
        <v>436.8</v>
      </c>
      <c r="I30" s="2">
        <f>ROUND(H30-G30, 2)</f>
        <v>0</v>
      </c>
      <c r="J30">
        <f>IF(ABS(I30)&gt;0.01, "Priority 3", "None")</f>
        <v>0</v>
      </c>
    </row>
    <row r="31" spans="1:10">
      <c r="A31" t="s">
        <v>1100</v>
      </c>
      <c r="B31" t="s">
        <v>1071</v>
      </c>
      <c r="C31">
        <v>32</v>
      </c>
      <c r="D31">
        <v>35.9</v>
      </c>
      <c r="E31">
        <f>MAX(ROUNDUP(D31, 0), C31)</f>
        <v>0</v>
      </c>
      <c r="F31" s="2">
        <v>10.4</v>
      </c>
      <c r="G31" s="2">
        <f>E31*F31</f>
        <v>0</v>
      </c>
      <c r="H31" s="2">
        <v>374.4</v>
      </c>
      <c r="I31" s="2">
        <f>ROUND(H31-G31, 2)</f>
        <v>0</v>
      </c>
      <c r="J31">
        <f>IF(ABS(I31)&gt;0.01, "Priority 3", "None")</f>
        <v>0</v>
      </c>
    </row>
    <row r="32" spans="1:10">
      <c r="A32" t="s">
        <v>1101</v>
      </c>
      <c r="B32" t="s">
        <v>1071</v>
      </c>
      <c r="C32">
        <v>32</v>
      </c>
      <c r="D32">
        <v>19.8</v>
      </c>
      <c r="E32">
        <f>MAX(ROUNDUP(D32, 0), C32)</f>
        <v>0</v>
      </c>
      <c r="F32" s="2">
        <v>10.4</v>
      </c>
      <c r="G32" s="2">
        <f>E32*F32</f>
        <v>0</v>
      </c>
      <c r="H32" s="2">
        <v>332.8</v>
      </c>
      <c r="I32" s="2">
        <f>ROUND(H32-G32, 2)</f>
        <v>0</v>
      </c>
      <c r="J32">
        <f>IF(ABS(I32)&gt;0.01, "Priority 3", "None")</f>
        <v>0</v>
      </c>
    </row>
    <row r="33" spans="1:10">
      <c r="A33" t="s">
        <v>1102</v>
      </c>
      <c r="B33" t="s">
        <v>1071</v>
      </c>
      <c r="C33">
        <v>40</v>
      </c>
      <c r="D33">
        <v>24.8</v>
      </c>
      <c r="E33">
        <f>MAX(ROUNDUP(D33, 0), C33)</f>
        <v>0</v>
      </c>
      <c r="F33" s="2">
        <v>10.4</v>
      </c>
      <c r="G33" s="2">
        <f>E33*F33</f>
        <v>0</v>
      </c>
      <c r="H33" s="2">
        <v>416</v>
      </c>
      <c r="I33" s="2">
        <f>ROUND(H33-G33, 2)</f>
        <v>0</v>
      </c>
      <c r="J33">
        <f>IF(ABS(I33)&gt;0.01, "Priority 3", "None")</f>
        <v>0</v>
      </c>
    </row>
    <row r="34" spans="1:10">
      <c r="A34" t="s">
        <v>1103</v>
      </c>
      <c r="B34" t="s">
        <v>1071</v>
      </c>
      <c r="C34">
        <v>24</v>
      </c>
      <c r="D34">
        <v>57.4</v>
      </c>
      <c r="E34">
        <f>MAX(ROUNDUP(D34, 0), C34)</f>
        <v>0</v>
      </c>
      <c r="F34" s="2">
        <v>10.4</v>
      </c>
      <c r="G34" s="2">
        <f>E34*F34</f>
        <v>0</v>
      </c>
      <c r="H34" s="2">
        <v>603.2</v>
      </c>
      <c r="I34" s="2">
        <f>ROUND(H34-G34, 2)</f>
        <v>0</v>
      </c>
      <c r="J34">
        <f>IF(ABS(I34)&gt;0.01, "Priority 3", "None")</f>
        <v>0</v>
      </c>
    </row>
    <row r="35" spans="1:10">
      <c r="A35" t="s">
        <v>1104</v>
      </c>
      <c r="B35" t="s">
        <v>1071</v>
      </c>
      <c r="C35">
        <v>40</v>
      </c>
      <c r="D35">
        <v>49.7</v>
      </c>
      <c r="E35">
        <f>MAX(ROUNDUP(D35, 0), C35)</f>
        <v>0</v>
      </c>
      <c r="F35" s="2">
        <v>10.4</v>
      </c>
      <c r="G35" s="2">
        <f>E35*F35</f>
        <v>0</v>
      </c>
      <c r="H35" s="2">
        <v>520</v>
      </c>
      <c r="I35" s="2">
        <f>ROUND(H35-G35, 2)</f>
        <v>0</v>
      </c>
      <c r="J35">
        <f>IF(ABS(I35)&gt;0.01, "Priority 3", "None")</f>
        <v>0</v>
      </c>
    </row>
    <row r="36" spans="1:10">
      <c r="A36" t="s">
        <v>1105</v>
      </c>
      <c r="B36" t="s">
        <v>1071</v>
      </c>
      <c r="C36">
        <v>28</v>
      </c>
      <c r="D36">
        <v>31</v>
      </c>
      <c r="E36">
        <f>MAX(ROUNDUP(D36, 0), C36)</f>
        <v>0</v>
      </c>
      <c r="F36" s="2">
        <v>10.4</v>
      </c>
      <c r="G36" s="2">
        <f>E36*F36</f>
        <v>0</v>
      </c>
      <c r="H36" s="2">
        <v>322.4</v>
      </c>
      <c r="I36" s="2">
        <f>ROUND(H36-G36, 2)</f>
        <v>0</v>
      </c>
      <c r="J36">
        <f>IF(ABS(I36)&gt;0.01, "Priority 3", "None")</f>
        <v>0</v>
      </c>
    </row>
    <row r="37" spans="1:10">
      <c r="A37" t="s">
        <v>1106</v>
      </c>
      <c r="B37" t="s">
        <v>1071</v>
      </c>
      <c r="C37">
        <v>28</v>
      </c>
      <c r="D37">
        <v>26.3</v>
      </c>
      <c r="E37">
        <f>MAX(ROUNDUP(D37, 0), C37)</f>
        <v>0</v>
      </c>
      <c r="F37" s="2">
        <v>10.4</v>
      </c>
      <c r="G37" s="2">
        <f>E37*F37</f>
        <v>0</v>
      </c>
      <c r="H37" s="2">
        <v>291.2</v>
      </c>
      <c r="I37" s="2">
        <f>ROUND(H37-G37, 2)</f>
        <v>0</v>
      </c>
      <c r="J37">
        <f>IF(ABS(I37)&gt;0.01, "Priority 3", "None")</f>
        <v>0</v>
      </c>
    </row>
    <row r="38" spans="1:10">
      <c r="A38" t="s">
        <v>1107</v>
      </c>
      <c r="B38" t="s">
        <v>1071</v>
      </c>
      <c r="C38">
        <v>32</v>
      </c>
      <c r="D38">
        <v>57</v>
      </c>
      <c r="E38">
        <f>MAX(ROUNDUP(D38, 0), C38)</f>
        <v>0</v>
      </c>
      <c r="F38" s="2">
        <v>10.4</v>
      </c>
      <c r="G38" s="2">
        <f>E38*F38</f>
        <v>0</v>
      </c>
      <c r="H38" s="2">
        <v>592.8</v>
      </c>
      <c r="I38" s="2">
        <f>ROUND(H38-G38, 2)</f>
        <v>0</v>
      </c>
      <c r="J38">
        <f>IF(ABS(I38)&gt;0.01, "Priority 3", "None")</f>
        <v>0</v>
      </c>
    </row>
    <row r="39" spans="1:10">
      <c r="A39" t="s">
        <v>1108</v>
      </c>
      <c r="B39" t="s">
        <v>1071</v>
      </c>
      <c r="C39">
        <v>40</v>
      </c>
      <c r="D39">
        <v>58.7</v>
      </c>
      <c r="E39">
        <f>MAX(ROUNDUP(D39, 0), C39)</f>
        <v>0</v>
      </c>
      <c r="F39" s="2">
        <v>10.4</v>
      </c>
      <c r="G39" s="2">
        <f>E39*F39</f>
        <v>0</v>
      </c>
      <c r="H39" s="2">
        <v>613.6</v>
      </c>
      <c r="I39" s="2">
        <f>ROUND(H39-G39, 2)</f>
        <v>0</v>
      </c>
      <c r="J39">
        <f>IF(ABS(I39)&gt;0.01, "Priority 3", "None")</f>
        <v>0</v>
      </c>
    </row>
    <row r="40" spans="1:10">
      <c r="A40" t="s">
        <v>1109</v>
      </c>
      <c r="B40" t="s">
        <v>1071</v>
      </c>
      <c r="C40">
        <v>24</v>
      </c>
      <c r="D40">
        <v>41.6</v>
      </c>
      <c r="E40">
        <f>MAX(ROUNDUP(D40, 0), C40)</f>
        <v>0</v>
      </c>
      <c r="F40" s="2">
        <v>10.4</v>
      </c>
      <c r="G40" s="2">
        <f>E40*F40</f>
        <v>0</v>
      </c>
      <c r="H40" s="2">
        <v>436.8</v>
      </c>
      <c r="I40" s="2">
        <f>ROUND(H40-G40, 2)</f>
        <v>0</v>
      </c>
      <c r="J40">
        <f>IF(ABS(I40)&gt;0.01, "Priority 3", "None")</f>
        <v>0</v>
      </c>
    </row>
    <row r="41" spans="1:10">
      <c r="A41" t="s">
        <v>1110</v>
      </c>
      <c r="B41" t="s">
        <v>1071</v>
      </c>
      <c r="C41">
        <v>28</v>
      </c>
      <c r="D41">
        <v>46.9</v>
      </c>
      <c r="E41">
        <f>MAX(ROUNDUP(D41, 0), C41)</f>
        <v>0</v>
      </c>
      <c r="F41" s="2">
        <v>10.4</v>
      </c>
      <c r="G41" s="2">
        <f>E41*F41</f>
        <v>0</v>
      </c>
      <c r="H41" s="2">
        <v>488.8</v>
      </c>
      <c r="I41" s="2">
        <f>ROUND(H41-G41, 2)</f>
        <v>0</v>
      </c>
      <c r="J41">
        <f>IF(ABS(I41)&gt;0.01, "Priority 3", "None")</f>
        <v>0</v>
      </c>
    </row>
    <row r="42" spans="1:10">
      <c r="A42" t="s">
        <v>1111</v>
      </c>
      <c r="B42" t="s">
        <v>1071</v>
      </c>
      <c r="C42">
        <v>28</v>
      </c>
      <c r="D42">
        <v>45.1</v>
      </c>
      <c r="E42">
        <f>MAX(ROUNDUP(D42, 0), C42)</f>
        <v>0</v>
      </c>
      <c r="F42" s="2">
        <v>10.4</v>
      </c>
      <c r="G42" s="2">
        <f>E42*F42</f>
        <v>0</v>
      </c>
      <c r="H42" s="2">
        <v>478.4</v>
      </c>
      <c r="I42" s="2">
        <f>ROUND(H42-G42, 2)</f>
        <v>0</v>
      </c>
      <c r="J42">
        <f>IF(ABS(I42)&gt;0.01, "Priority 3", "None")</f>
        <v>0</v>
      </c>
    </row>
    <row r="43" spans="1:10">
      <c r="A43" t="s">
        <v>1112</v>
      </c>
      <c r="B43" t="s">
        <v>1071</v>
      </c>
      <c r="C43">
        <v>24</v>
      </c>
      <c r="D43">
        <v>57.8</v>
      </c>
      <c r="E43">
        <f>MAX(ROUNDUP(D43, 0), C43)</f>
        <v>0</v>
      </c>
      <c r="F43" s="2">
        <v>10.4</v>
      </c>
      <c r="G43" s="2">
        <f>E43*F43</f>
        <v>0</v>
      </c>
      <c r="H43" s="2">
        <v>603.2</v>
      </c>
      <c r="I43" s="2">
        <f>ROUND(H43-G43, 2)</f>
        <v>0</v>
      </c>
      <c r="J43">
        <f>IF(ABS(I43)&gt;0.01, "Priority 3", "None")</f>
        <v>0</v>
      </c>
    </row>
    <row r="44" spans="1:10">
      <c r="A44" t="s">
        <v>1113</v>
      </c>
      <c r="B44" t="s">
        <v>1071</v>
      </c>
      <c r="C44">
        <v>36</v>
      </c>
      <c r="D44">
        <v>25.5</v>
      </c>
      <c r="E44">
        <f>MAX(ROUNDUP(D44, 0), C44)</f>
        <v>0</v>
      </c>
      <c r="F44" s="2">
        <v>10.4</v>
      </c>
      <c r="G44" s="2">
        <f>E44*F44</f>
        <v>0</v>
      </c>
      <c r="H44" s="2">
        <v>374.4</v>
      </c>
      <c r="I44" s="2">
        <f>ROUND(H44-G44, 2)</f>
        <v>0</v>
      </c>
      <c r="J44">
        <f>IF(ABS(I44)&gt;0.01, "Priority 3", "None")</f>
        <v>0</v>
      </c>
    </row>
    <row r="45" spans="1:10">
      <c r="A45" t="s">
        <v>1114</v>
      </c>
      <c r="B45" t="s">
        <v>1071</v>
      </c>
      <c r="C45">
        <v>24</v>
      </c>
      <c r="D45">
        <v>49.8</v>
      </c>
      <c r="E45">
        <f>MAX(ROUNDUP(D45, 0), C45)</f>
        <v>0</v>
      </c>
      <c r="F45" s="2">
        <v>10.4</v>
      </c>
      <c r="G45" s="2">
        <f>E45*F45</f>
        <v>0</v>
      </c>
      <c r="H45" s="2">
        <v>520</v>
      </c>
      <c r="I45" s="2">
        <f>ROUND(H45-G45, 2)</f>
        <v>0</v>
      </c>
      <c r="J45">
        <f>IF(ABS(I45)&gt;0.01, "Priority 3", "None")</f>
        <v>0</v>
      </c>
    </row>
    <row r="46" spans="1:10">
      <c r="A46" t="s">
        <v>1115</v>
      </c>
      <c r="B46" t="s">
        <v>1071</v>
      </c>
      <c r="C46">
        <v>40</v>
      </c>
      <c r="D46">
        <v>26.7</v>
      </c>
      <c r="E46">
        <f>MAX(ROUNDUP(D46, 0), C46)</f>
        <v>0</v>
      </c>
      <c r="F46" s="2">
        <v>10.4</v>
      </c>
      <c r="G46" s="2">
        <f>E46*F46</f>
        <v>0</v>
      </c>
      <c r="H46" s="2">
        <v>416</v>
      </c>
      <c r="I46" s="2">
        <f>ROUND(H46-G46, 2)</f>
        <v>0</v>
      </c>
      <c r="J46">
        <f>IF(ABS(I46)&gt;0.01, "Priority 3", "None")</f>
        <v>0</v>
      </c>
    </row>
    <row r="47" spans="1:10">
      <c r="A47" t="s">
        <v>1116</v>
      </c>
      <c r="B47" t="s">
        <v>1071</v>
      </c>
      <c r="C47">
        <v>28</v>
      </c>
      <c r="D47">
        <v>18.4</v>
      </c>
      <c r="E47">
        <f>MAX(ROUNDUP(D47, 0), C47)</f>
        <v>0</v>
      </c>
      <c r="F47" s="2">
        <v>10.4</v>
      </c>
      <c r="G47" s="2">
        <f>E47*F47</f>
        <v>0</v>
      </c>
      <c r="H47" s="2">
        <v>291.2</v>
      </c>
      <c r="I47" s="2">
        <f>ROUND(H47-G47, 2)</f>
        <v>0</v>
      </c>
      <c r="J47">
        <f>IF(ABS(I47)&gt;0.01, "Priority 3", "None")</f>
        <v>0</v>
      </c>
    </row>
    <row r="48" spans="1:10">
      <c r="A48" t="s">
        <v>1117</v>
      </c>
      <c r="B48" t="s">
        <v>1071</v>
      </c>
      <c r="C48">
        <v>32</v>
      </c>
      <c r="D48">
        <v>37.3</v>
      </c>
      <c r="E48">
        <f>MAX(ROUNDUP(D48, 0), C48)</f>
        <v>0</v>
      </c>
      <c r="F48" s="2">
        <v>10.4</v>
      </c>
      <c r="G48" s="2">
        <f>E48*F48</f>
        <v>0</v>
      </c>
      <c r="H48" s="2">
        <v>395.2</v>
      </c>
      <c r="I48" s="2">
        <f>ROUND(H48-G48, 2)</f>
        <v>0</v>
      </c>
      <c r="J48">
        <f>IF(ABS(I48)&gt;0.01, "Priority 3", "None")</f>
        <v>0</v>
      </c>
    </row>
    <row r="49" spans="1:10">
      <c r="A49" t="s">
        <v>1118</v>
      </c>
      <c r="B49" t="s">
        <v>1071</v>
      </c>
      <c r="C49">
        <v>32</v>
      </c>
      <c r="D49">
        <v>54</v>
      </c>
      <c r="E49">
        <f>MAX(ROUNDUP(D49, 0), C49)</f>
        <v>0</v>
      </c>
      <c r="F49" s="2">
        <v>10.4</v>
      </c>
      <c r="G49" s="2">
        <f>E49*F49</f>
        <v>0</v>
      </c>
      <c r="H49" s="2">
        <v>561.6</v>
      </c>
      <c r="I49" s="2">
        <f>ROUND(H49-G49, 2)</f>
        <v>0</v>
      </c>
      <c r="J49">
        <f>IF(ABS(I49)&gt;0.01, "Priority 3", "None")</f>
        <v>0</v>
      </c>
    </row>
    <row r="50" spans="1:10">
      <c r="A50" t="s">
        <v>1119</v>
      </c>
      <c r="B50" t="s">
        <v>1071</v>
      </c>
      <c r="C50">
        <v>32</v>
      </c>
      <c r="D50">
        <v>19.4</v>
      </c>
      <c r="E50">
        <f>MAX(ROUNDUP(D50, 0), C50)</f>
        <v>0</v>
      </c>
      <c r="F50" s="2">
        <v>10.4</v>
      </c>
      <c r="G50" s="2">
        <f>E50*F50</f>
        <v>0</v>
      </c>
      <c r="H50" s="2">
        <v>332.8</v>
      </c>
      <c r="I50" s="2">
        <f>ROUND(H50-G50, 2)</f>
        <v>0</v>
      </c>
      <c r="J50">
        <f>IF(ABS(I50)&gt;0.01, "Priority 3", "None")</f>
        <v>0</v>
      </c>
    </row>
    <row r="51" spans="1:10">
      <c r="A51" t="s">
        <v>1120</v>
      </c>
      <c r="B51" t="s">
        <v>1071</v>
      </c>
      <c r="C51">
        <v>32</v>
      </c>
      <c r="D51">
        <v>54.1</v>
      </c>
      <c r="E51">
        <f>MAX(ROUNDUP(D51, 0), C51)</f>
        <v>0</v>
      </c>
      <c r="F51" s="2">
        <v>10.4</v>
      </c>
      <c r="G51" s="2">
        <f>E51*F51</f>
        <v>0</v>
      </c>
      <c r="H51" s="2">
        <v>572</v>
      </c>
      <c r="I51" s="2">
        <f>ROUND(H51-G51, 2)</f>
        <v>0</v>
      </c>
      <c r="J51">
        <f>IF(ABS(I51)&gt;0.01, "Priority 3", "None")</f>
        <v>0</v>
      </c>
    </row>
    <row r="52" spans="1:10">
      <c r="A52" t="s">
        <v>1121</v>
      </c>
      <c r="B52" t="s">
        <v>1071</v>
      </c>
      <c r="C52">
        <v>36</v>
      </c>
      <c r="D52">
        <v>60.7</v>
      </c>
      <c r="E52">
        <f>MAX(ROUNDUP(D52, 0), C52)</f>
        <v>0</v>
      </c>
      <c r="F52" s="2">
        <v>10.4</v>
      </c>
      <c r="G52" s="2">
        <f>E52*F52</f>
        <v>0</v>
      </c>
      <c r="H52" s="2">
        <v>634.4</v>
      </c>
      <c r="I52" s="2">
        <f>ROUND(H52-G52, 2)</f>
        <v>0</v>
      </c>
      <c r="J52">
        <f>IF(ABS(I52)&gt;0.01, "Priority 3", "None")</f>
        <v>0</v>
      </c>
    </row>
    <row r="53" spans="1:10">
      <c r="A53" t="s">
        <v>1122</v>
      </c>
      <c r="B53" t="s">
        <v>1071</v>
      </c>
      <c r="C53">
        <v>40</v>
      </c>
      <c r="D53">
        <v>42.3</v>
      </c>
      <c r="E53">
        <f>MAX(ROUNDUP(D53, 0), C53)</f>
        <v>0</v>
      </c>
      <c r="F53" s="2">
        <v>10.4</v>
      </c>
      <c r="G53" s="2">
        <f>E53*F53</f>
        <v>0</v>
      </c>
      <c r="H53" s="2">
        <v>447.2</v>
      </c>
      <c r="I53" s="2">
        <f>ROUND(H53-G53, 2)</f>
        <v>0</v>
      </c>
      <c r="J53">
        <f>IF(ABS(I53)&gt;0.01, "Priority 3", "None")</f>
        <v>0</v>
      </c>
    </row>
    <row r="54" spans="1:10">
      <c r="A54" t="s">
        <v>1123</v>
      </c>
      <c r="B54" t="s">
        <v>1071</v>
      </c>
      <c r="C54">
        <v>24</v>
      </c>
      <c r="D54">
        <v>23.9</v>
      </c>
      <c r="E54">
        <f>MAX(ROUNDUP(D54, 0), C54)</f>
        <v>0</v>
      </c>
      <c r="F54" s="2">
        <v>10.4</v>
      </c>
      <c r="G54" s="2">
        <f>E54*F54</f>
        <v>0</v>
      </c>
      <c r="H54" s="2">
        <v>249.6</v>
      </c>
      <c r="I54" s="2">
        <f>ROUND(H54-G54, 2)</f>
        <v>0</v>
      </c>
      <c r="J54">
        <f>IF(ABS(I54)&gt;0.01, "Priority 3", "None")</f>
        <v>0</v>
      </c>
    </row>
    <row r="55" spans="1:10">
      <c r="A55" t="s">
        <v>1124</v>
      </c>
      <c r="B55" t="s">
        <v>1071</v>
      </c>
      <c r="C55">
        <v>24</v>
      </c>
      <c r="D55">
        <v>31.1</v>
      </c>
      <c r="E55">
        <f>MAX(ROUNDUP(D55, 0), C55)</f>
        <v>0</v>
      </c>
      <c r="F55" s="2">
        <v>10.4</v>
      </c>
      <c r="G55" s="2">
        <f>E55*F55</f>
        <v>0</v>
      </c>
      <c r="H55" s="2">
        <v>332.8</v>
      </c>
      <c r="I55" s="2">
        <f>ROUND(H55-G55, 2)</f>
        <v>0</v>
      </c>
      <c r="J55">
        <f>IF(ABS(I55)&gt;0.01, "Priority 3", "None")</f>
        <v>0</v>
      </c>
    </row>
    <row r="56" spans="1:10">
      <c r="A56" t="s">
        <v>1125</v>
      </c>
      <c r="B56" t="s">
        <v>1071</v>
      </c>
      <c r="C56">
        <v>32</v>
      </c>
      <c r="D56">
        <v>24.8</v>
      </c>
      <c r="E56">
        <f>MAX(ROUNDUP(D56, 0), C56)</f>
        <v>0</v>
      </c>
      <c r="F56" s="2">
        <v>10.4</v>
      </c>
      <c r="G56" s="2">
        <f>E56*F56</f>
        <v>0</v>
      </c>
      <c r="H56" s="2">
        <v>332.8</v>
      </c>
      <c r="I56" s="2">
        <f>ROUND(H56-G56, 2)</f>
        <v>0</v>
      </c>
      <c r="J56">
        <f>IF(ABS(I56)&gt;0.01, "Priority 3", "None")</f>
        <v>0</v>
      </c>
    </row>
    <row r="57" spans="1:10">
      <c r="A57" t="s">
        <v>1126</v>
      </c>
      <c r="B57" t="s">
        <v>1071</v>
      </c>
      <c r="C57">
        <v>32</v>
      </c>
      <c r="D57">
        <v>26.3</v>
      </c>
      <c r="E57">
        <f>MAX(ROUNDUP(D57, 0), C57)</f>
        <v>0</v>
      </c>
      <c r="F57" s="2">
        <v>10.4</v>
      </c>
      <c r="G57" s="2">
        <f>E57*F57</f>
        <v>0</v>
      </c>
      <c r="H57" s="2">
        <v>332.8</v>
      </c>
      <c r="I57" s="2">
        <f>ROUND(H57-G57, 2)</f>
        <v>0</v>
      </c>
      <c r="J57">
        <f>IF(ABS(I57)&gt;0.01, "Priority 3", "None")</f>
        <v>0</v>
      </c>
    </row>
    <row r="58" spans="1:10">
      <c r="A58" t="s">
        <v>1127</v>
      </c>
      <c r="B58" t="s">
        <v>1071</v>
      </c>
      <c r="C58">
        <v>24</v>
      </c>
      <c r="D58">
        <v>31.6</v>
      </c>
      <c r="E58">
        <f>MAX(ROUNDUP(D58, 0), C58)</f>
        <v>0</v>
      </c>
      <c r="F58" s="2">
        <v>10.4</v>
      </c>
      <c r="G58" s="2">
        <f>E58*F58</f>
        <v>0</v>
      </c>
      <c r="H58" s="2">
        <v>332.8</v>
      </c>
      <c r="I58" s="2">
        <f>ROUND(H58-G58, 2)</f>
        <v>0</v>
      </c>
      <c r="J58">
        <f>IF(ABS(I58)&gt;0.01, "Priority 3", "None")</f>
        <v>0</v>
      </c>
    </row>
    <row r="59" spans="1:10">
      <c r="A59" t="s">
        <v>1128</v>
      </c>
      <c r="B59" t="s">
        <v>1071</v>
      </c>
      <c r="C59">
        <v>40</v>
      </c>
      <c r="D59">
        <v>53.5</v>
      </c>
      <c r="E59">
        <f>MAX(ROUNDUP(D59, 0), C59)</f>
        <v>0</v>
      </c>
      <c r="F59" s="2">
        <v>10.4</v>
      </c>
      <c r="G59" s="2">
        <f>E59*F59</f>
        <v>0</v>
      </c>
      <c r="H59" s="2">
        <v>561.6</v>
      </c>
      <c r="I59" s="2">
        <f>ROUND(H59-G59, 2)</f>
        <v>0</v>
      </c>
      <c r="J59">
        <f>IF(ABS(I59)&gt;0.01, "Priority 3", "None")</f>
        <v>0</v>
      </c>
    </row>
    <row r="60" spans="1:10">
      <c r="A60" t="s">
        <v>1129</v>
      </c>
      <c r="B60" t="s">
        <v>1071</v>
      </c>
      <c r="C60">
        <v>40</v>
      </c>
      <c r="D60">
        <v>22.7</v>
      </c>
      <c r="E60">
        <f>MAX(ROUNDUP(D60, 0), C60)</f>
        <v>0</v>
      </c>
      <c r="F60" s="2">
        <v>10.4</v>
      </c>
      <c r="G60" s="2">
        <f>E60*F60</f>
        <v>0</v>
      </c>
      <c r="H60" s="2">
        <v>416</v>
      </c>
      <c r="I60" s="2">
        <f>ROUND(H60-G60, 2)</f>
        <v>0</v>
      </c>
      <c r="J60">
        <f>IF(ABS(I60)&gt;0.01, "Priority 3", "None")</f>
        <v>0</v>
      </c>
    </row>
    <row r="61" spans="1:10">
      <c r="A61" t="s">
        <v>1130</v>
      </c>
      <c r="B61" t="s">
        <v>1071</v>
      </c>
      <c r="C61">
        <v>32</v>
      </c>
      <c r="D61">
        <v>34.5</v>
      </c>
      <c r="E61">
        <f>MAX(ROUNDUP(D61, 0), C61)</f>
        <v>0</v>
      </c>
      <c r="F61" s="2">
        <v>10.4</v>
      </c>
      <c r="G61" s="2">
        <f>E61*F61</f>
        <v>0</v>
      </c>
      <c r="H61" s="2">
        <v>364</v>
      </c>
      <c r="I61" s="2">
        <f>ROUND(H61-G61, 2)</f>
        <v>0</v>
      </c>
      <c r="J61">
        <f>IF(ABS(I61)&gt;0.01, "Priority 3", "None")</f>
        <v>0</v>
      </c>
    </row>
    <row r="62" spans="1:10">
      <c r="A62" t="s">
        <v>1131</v>
      </c>
      <c r="B62" t="s">
        <v>1071</v>
      </c>
      <c r="C62">
        <v>24</v>
      </c>
      <c r="D62">
        <v>53.4</v>
      </c>
      <c r="E62">
        <f>MAX(ROUNDUP(D62, 0), C62)</f>
        <v>0</v>
      </c>
      <c r="F62" s="2">
        <v>10.4</v>
      </c>
      <c r="G62" s="2">
        <f>E62*F62</f>
        <v>0</v>
      </c>
      <c r="H62" s="2">
        <v>561.6</v>
      </c>
      <c r="I62" s="2">
        <f>ROUND(H62-G62, 2)</f>
        <v>0</v>
      </c>
      <c r="J62">
        <f>IF(ABS(I62)&gt;0.01, "Priority 3", "None")</f>
        <v>0</v>
      </c>
    </row>
    <row r="63" spans="1:10">
      <c r="A63" t="s">
        <v>1132</v>
      </c>
      <c r="B63" t="s">
        <v>1071</v>
      </c>
      <c r="C63">
        <v>28</v>
      </c>
      <c r="D63">
        <v>34.2</v>
      </c>
      <c r="E63">
        <f>MAX(ROUNDUP(D63, 0), C63)</f>
        <v>0</v>
      </c>
      <c r="F63" s="2">
        <v>10.4</v>
      </c>
      <c r="G63" s="2">
        <f>E63*F63</f>
        <v>0</v>
      </c>
      <c r="H63" s="2">
        <v>364</v>
      </c>
      <c r="I63" s="2">
        <f>ROUND(H63-G63, 2)</f>
        <v>0</v>
      </c>
      <c r="J63">
        <f>IF(ABS(I63)&gt;0.01, "Priority 3", "None")</f>
        <v>0</v>
      </c>
    </row>
    <row r="64" spans="1:10">
      <c r="A64" t="s">
        <v>1133</v>
      </c>
      <c r="B64" t="s">
        <v>1071</v>
      </c>
      <c r="C64">
        <v>24</v>
      </c>
      <c r="D64">
        <v>57.4</v>
      </c>
      <c r="E64">
        <f>MAX(ROUNDUP(D64, 0), C64)</f>
        <v>0</v>
      </c>
      <c r="F64" s="2">
        <v>10.4</v>
      </c>
      <c r="G64" s="2">
        <f>E64*F64</f>
        <v>0</v>
      </c>
      <c r="H64" s="2">
        <v>603.2</v>
      </c>
      <c r="I64" s="2">
        <f>ROUND(H64-G64, 2)</f>
        <v>0</v>
      </c>
      <c r="J64">
        <f>IF(ABS(I64)&gt;0.01, "Priority 3", "None")</f>
        <v>0</v>
      </c>
    </row>
    <row r="65" spans="1:10">
      <c r="A65" t="s">
        <v>1134</v>
      </c>
      <c r="B65" t="s">
        <v>1071</v>
      </c>
      <c r="C65">
        <v>24</v>
      </c>
      <c r="D65">
        <v>48.5</v>
      </c>
      <c r="E65">
        <f>MAX(ROUNDUP(D65, 0), C65)</f>
        <v>0</v>
      </c>
      <c r="F65" s="2">
        <v>10.4</v>
      </c>
      <c r="G65" s="2">
        <f>E65*F65</f>
        <v>0</v>
      </c>
      <c r="H65" s="2">
        <v>509.6</v>
      </c>
      <c r="I65" s="2">
        <f>ROUND(H65-G65, 2)</f>
        <v>0</v>
      </c>
      <c r="J65">
        <f>IF(ABS(I65)&gt;0.01, "Priority 3", "None")</f>
        <v>0</v>
      </c>
    </row>
    <row r="66" spans="1:10">
      <c r="A66" t="s">
        <v>1135</v>
      </c>
      <c r="B66" t="s">
        <v>1071</v>
      </c>
      <c r="C66">
        <v>32</v>
      </c>
      <c r="D66">
        <v>44.5</v>
      </c>
      <c r="E66">
        <f>MAX(ROUNDUP(D66, 0), C66)</f>
        <v>0</v>
      </c>
      <c r="F66" s="2">
        <v>10.4</v>
      </c>
      <c r="G66" s="2">
        <f>E66*F66</f>
        <v>0</v>
      </c>
      <c r="H66" s="2">
        <v>468</v>
      </c>
      <c r="I66" s="2">
        <f>ROUND(H66-G66, 2)</f>
        <v>0</v>
      </c>
      <c r="J66">
        <f>IF(ABS(I66)&gt;0.01, "Priority 3", "None")</f>
        <v>0</v>
      </c>
    </row>
    <row r="67" spans="1:10">
      <c r="A67" t="s">
        <v>1136</v>
      </c>
      <c r="B67" t="s">
        <v>1071</v>
      </c>
      <c r="C67">
        <v>28</v>
      </c>
      <c r="D67">
        <v>36.5</v>
      </c>
      <c r="E67">
        <f>MAX(ROUNDUP(D67, 0), C67)</f>
        <v>0</v>
      </c>
      <c r="F67" s="2">
        <v>10.4</v>
      </c>
      <c r="G67" s="2">
        <f>E67*F67</f>
        <v>0</v>
      </c>
      <c r="H67" s="2">
        <v>384.8</v>
      </c>
      <c r="I67" s="2">
        <f>ROUND(H67-G67, 2)</f>
        <v>0</v>
      </c>
      <c r="J67">
        <f>IF(ABS(I67)&gt;0.01, "Priority 3", "None")</f>
        <v>0</v>
      </c>
    </row>
    <row r="68" spans="1:10">
      <c r="A68" t="s">
        <v>1137</v>
      </c>
      <c r="B68" t="s">
        <v>1071</v>
      </c>
      <c r="C68">
        <v>24</v>
      </c>
      <c r="D68">
        <v>46.9</v>
      </c>
      <c r="E68">
        <f>MAX(ROUNDUP(D68, 0), C68)</f>
        <v>0</v>
      </c>
      <c r="F68" s="2">
        <v>10.4</v>
      </c>
      <c r="G68" s="2">
        <f>E68*F68</f>
        <v>0</v>
      </c>
      <c r="H68" s="2">
        <v>488.8</v>
      </c>
      <c r="I68" s="2">
        <f>ROUND(H68-G68, 2)</f>
        <v>0</v>
      </c>
      <c r="J68">
        <f>IF(ABS(I68)&gt;0.01, "Priority 3", "None")</f>
        <v>0</v>
      </c>
    </row>
    <row r="69" spans="1:10">
      <c r="A69" t="s">
        <v>1138</v>
      </c>
      <c r="B69" t="s">
        <v>1071</v>
      </c>
      <c r="C69">
        <v>24</v>
      </c>
      <c r="D69">
        <v>27.2</v>
      </c>
      <c r="E69">
        <f>MAX(ROUNDUP(D69, 0), C69)</f>
        <v>0</v>
      </c>
      <c r="F69" s="2">
        <v>10.4</v>
      </c>
      <c r="G69" s="2">
        <f>E69*F69</f>
        <v>0</v>
      </c>
      <c r="H69" s="2">
        <v>291.2</v>
      </c>
      <c r="I69" s="2">
        <f>ROUND(H69-G69, 2)</f>
        <v>0</v>
      </c>
      <c r="J69">
        <f>IF(ABS(I69)&gt;0.01, "Priority 3", "None")</f>
        <v>0</v>
      </c>
    </row>
    <row r="70" spans="1:10">
      <c r="A70" t="s">
        <v>1139</v>
      </c>
      <c r="B70" t="s">
        <v>1071</v>
      </c>
      <c r="C70">
        <v>24</v>
      </c>
      <c r="D70">
        <v>34.5</v>
      </c>
      <c r="E70">
        <f>MAX(ROUNDUP(D70, 0), C70)</f>
        <v>0</v>
      </c>
      <c r="F70" s="2">
        <v>10.4</v>
      </c>
      <c r="G70" s="2">
        <f>E70*F70</f>
        <v>0</v>
      </c>
      <c r="H70" s="2">
        <v>364</v>
      </c>
      <c r="I70" s="2">
        <f>ROUND(H70-G70, 2)</f>
        <v>0</v>
      </c>
      <c r="J70">
        <f>IF(ABS(I70)&gt;0.01, "Priority 3", "None")</f>
        <v>0</v>
      </c>
    </row>
    <row r="71" spans="1:10">
      <c r="A71" t="s">
        <v>1140</v>
      </c>
      <c r="B71" t="s">
        <v>1071</v>
      </c>
      <c r="C71">
        <v>24</v>
      </c>
      <c r="D71">
        <v>59.6</v>
      </c>
      <c r="E71">
        <f>MAX(ROUNDUP(D71, 0), C71)</f>
        <v>0</v>
      </c>
      <c r="F71" s="2">
        <v>10.4</v>
      </c>
      <c r="G71" s="2">
        <f>E71*F71</f>
        <v>0</v>
      </c>
      <c r="H71" s="2">
        <v>624</v>
      </c>
      <c r="I71" s="2">
        <f>ROUND(H71-G71, 2)</f>
        <v>0</v>
      </c>
      <c r="J71">
        <f>IF(ABS(I71)&gt;0.01, "Priority 3", "None")</f>
        <v>0</v>
      </c>
    </row>
    <row r="72" spans="1:10">
      <c r="A72" t="s">
        <v>1141</v>
      </c>
      <c r="B72" t="s">
        <v>1071</v>
      </c>
      <c r="C72">
        <v>28</v>
      </c>
      <c r="D72">
        <v>38.4</v>
      </c>
      <c r="E72">
        <f>MAX(ROUNDUP(D72, 0), C72)</f>
        <v>0</v>
      </c>
      <c r="F72" s="2">
        <v>10.4</v>
      </c>
      <c r="G72" s="2">
        <f>E72*F72</f>
        <v>0</v>
      </c>
      <c r="H72" s="2">
        <v>405.6</v>
      </c>
      <c r="I72" s="2">
        <f>ROUND(H72-G72, 2)</f>
        <v>0</v>
      </c>
      <c r="J72">
        <f>IF(ABS(I72)&gt;0.01, "Priority 3", "None")</f>
        <v>0</v>
      </c>
    </row>
    <row r="73" spans="1:10">
      <c r="A73" t="s">
        <v>1142</v>
      </c>
      <c r="B73" t="s">
        <v>1071</v>
      </c>
      <c r="C73">
        <v>40</v>
      </c>
      <c r="D73">
        <v>23.9</v>
      </c>
      <c r="E73">
        <f>MAX(ROUNDUP(D73, 0), C73)</f>
        <v>0</v>
      </c>
      <c r="F73" s="2">
        <v>10.4</v>
      </c>
      <c r="G73" s="2">
        <f>E73*F73</f>
        <v>0</v>
      </c>
      <c r="H73" s="2">
        <v>416</v>
      </c>
      <c r="I73" s="2">
        <f>ROUND(H73-G73, 2)</f>
        <v>0</v>
      </c>
      <c r="J73">
        <f>IF(ABS(I73)&gt;0.01, "Priority 3", "None")</f>
        <v>0</v>
      </c>
    </row>
    <row r="74" spans="1:10">
      <c r="A74" t="s">
        <v>1143</v>
      </c>
      <c r="B74" t="s">
        <v>1071</v>
      </c>
      <c r="C74">
        <v>32</v>
      </c>
      <c r="D74">
        <v>48.1</v>
      </c>
      <c r="E74">
        <f>MAX(ROUNDUP(D74, 0), C74)</f>
        <v>0</v>
      </c>
      <c r="F74" s="2">
        <v>10.4</v>
      </c>
      <c r="G74" s="2">
        <f>E74*F74</f>
        <v>0</v>
      </c>
      <c r="H74" s="2">
        <v>509.6</v>
      </c>
      <c r="I74" s="2">
        <f>ROUND(H74-G74, 2)</f>
        <v>0</v>
      </c>
      <c r="J74">
        <f>IF(ABS(I74)&gt;0.01, "Priority 3", "None")</f>
        <v>0</v>
      </c>
    </row>
    <row r="75" spans="1:10">
      <c r="A75" t="s">
        <v>1144</v>
      </c>
      <c r="B75" t="s">
        <v>1071</v>
      </c>
      <c r="C75">
        <v>24</v>
      </c>
      <c r="D75">
        <v>39.7</v>
      </c>
      <c r="E75">
        <f>MAX(ROUNDUP(D75, 0), C75)</f>
        <v>0</v>
      </c>
      <c r="F75" s="2">
        <v>10.4</v>
      </c>
      <c r="G75" s="2">
        <f>E75*F75</f>
        <v>0</v>
      </c>
      <c r="H75" s="2">
        <v>416</v>
      </c>
      <c r="I75" s="2">
        <f>ROUND(H75-G75, 2)</f>
        <v>0</v>
      </c>
      <c r="J75">
        <f>IF(ABS(I75)&gt;0.01, "Priority 3", "None")</f>
        <v>0</v>
      </c>
    </row>
    <row r="76" spans="1:10">
      <c r="A76" t="s">
        <v>1145</v>
      </c>
      <c r="B76" t="s">
        <v>1071</v>
      </c>
      <c r="C76">
        <v>24</v>
      </c>
      <c r="D76">
        <v>24.6</v>
      </c>
      <c r="E76">
        <f>MAX(ROUNDUP(D76, 0), C76)</f>
        <v>0</v>
      </c>
      <c r="F76" s="2">
        <v>10.4</v>
      </c>
      <c r="G76" s="2">
        <f>E76*F76</f>
        <v>0</v>
      </c>
      <c r="H76" s="2">
        <v>260</v>
      </c>
      <c r="I76" s="2">
        <f>ROUND(H76-G76, 2)</f>
        <v>0</v>
      </c>
      <c r="J76">
        <f>IF(ABS(I76)&gt;0.01, "Priority 3", "None")</f>
        <v>0</v>
      </c>
    </row>
    <row r="77" spans="1:10">
      <c r="A77" t="s">
        <v>1146</v>
      </c>
      <c r="B77" t="s">
        <v>1071</v>
      </c>
      <c r="C77">
        <v>32</v>
      </c>
      <c r="D77">
        <v>41.2</v>
      </c>
      <c r="E77">
        <f>MAX(ROUNDUP(D77, 0), C77)</f>
        <v>0</v>
      </c>
      <c r="F77" s="2">
        <v>10.4</v>
      </c>
      <c r="G77" s="2">
        <f>E77*F77</f>
        <v>0</v>
      </c>
      <c r="H77" s="2">
        <v>436.8</v>
      </c>
      <c r="I77" s="2">
        <f>ROUND(H77-G77, 2)</f>
        <v>0</v>
      </c>
      <c r="J77">
        <f>IF(ABS(I77)&gt;0.01, "Priority 3", "None")</f>
        <v>0</v>
      </c>
    </row>
    <row r="78" spans="1:10">
      <c r="A78" t="s">
        <v>1147</v>
      </c>
      <c r="B78" t="s">
        <v>1071</v>
      </c>
      <c r="C78">
        <v>28</v>
      </c>
      <c r="D78">
        <v>23.7</v>
      </c>
      <c r="E78">
        <f>MAX(ROUNDUP(D78, 0), C78)</f>
        <v>0</v>
      </c>
      <c r="F78" s="2">
        <v>10.4</v>
      </c>
      <c r="G78" s="2">
        <f>E78*F78</f>
        <v>0</v>
      </c>
      <c r="H78" s="2">
        <v>291.2</v>
      </c>
      <c r="I78" s="2">
        <f>ROUND(H78-G78, 2)</f>
        <v>0</v>
      </c>
      <c r="J78">
        <f>IF(ABS(I78)&gt;0.01, "Priority 3", "None")</f>
        <v>0</v>
      </c>
    </row>
    <row r="79" spans="1:10">
      <c r="A79" t="s">
        <v>1148</v>
      </c>
      <c r="B79" t="s">
        <v>1071</v>
      </c>
      <c r="C79">
        <v>24</v>
      </c>
      <c r="D79">
        <v>35.9</v>
      </c>
      <c r="E79">
        <f>MAX(ROUNDUP(D79, 0), C79)</f>
        <v>0</v>
      </c>
      <c r="F79" s="2">
        <v>10.4</v>
      </c>
      <c r="G79" s="2">
        <f>E79*F79</f>
        <v>0</v>
      </c>
      <c r="H79" s="2">
        <v>374.4</v>
      </c>
      <c r="I79" s="2">
        <f>ROUND(H79-G79, 2)</f>
        <v>0</v>
      </c>
      <c r="J79">
        <f>IF(ABS(I79)&gt;0.01, "Priority 3", "None")</f>
        <v>0</v>
      </c>
    </row>
    <row r="80" spans="1:10">
      <c r="A80" t="s">
        <v>1149</v>
      </c>
      <c r="B80" t="s">
        <v>1071</v>
      </c>
      <c r="C80">
        <v>24</v>
      </c>
      <c r="D80">
        <v>47.8</v>
      </c>
      <c r="E80">
        <f>MAX(ROUNDUP(D80, 0), C80)</f>
        <v>0</v>
      </c>
      <c r="F80" s="2">
        <v>10.4</v>
      </c>
      <c r="G80" s="2">
        <f>E80*F80</f>
        <v>0</v>
      </c>
      <c r="H80" s="2">
        <v>499.2</v>
      </c>
      <c r="I80" s="2">
        <f>ROUND(H80-G80, 2)</f>
        <v>0</v>
      </c>
      <c r="J80">
        <f>IF(ABS(I80)&gt;0.01, "Priority 3", "None")</f>
        <v>0</v>
      </c>
    </row>
    <row r="81" spans="1:10">
      <c r="A81" t="s">
        <v>1150</v>
      </c>
      <c r="B81" t="s">
        <v>1071</v>
      </c>
      <c r="C81">
        <v>40</v>
      </c>
      <c r="D81">
        <v>60.9</v>
      </c>
      <c r="E81">
        <f>MAX(ROUNDUP(D81, 0), C81)</f>
        <v>0</v>
      </c>
      <c r="F81" s="2">
        <v>10.4</v>
      </c>
      <c r="G81" s="2">
        <f>E81*F81</f>
        <v>0</v>
      </c>
      <c r="H81" s="2">
        <v>634.4</v>
      </c>
      <c r="I81" s="2">
        <f>ROUND(H81-G81, 2)</f>
        <v>0</v>
      </c>
      <c r="J81">
        <f>IF(ABS(I81)&gt;0.01, "Priority 3", "None")</f>
        <v>0</v>
      </c>
    </row>
    <row r="82" spans="1:10">
      <c r="A82" t="s">
        <v>1151</v>
      </c>
      <c r="B82" t="s">
        <v>1071</v>
      </c>
      <c r="C82">
        <v>24</v>
      </c>
      <c r="D82">
        <v>43.7</v>
      </c>
      <c r="E82">
        <f>MAX(ROUNDUP(D82, 0), C82)</f>
        <v>0</v>
      </c>
      <c r="F82" s="2">
        <v>10.4</v>
      </c>
      <c r="G82" s="2">
        <f>E82*F82</f>
        <v>0</v>
      </c>
      <c r="H82" s="2">
        <v>457.6</v>
      </c>
      <c r="I82" s="2">
        <f>ROUND(H82-G82, 2)</f>
        <v>0</v>
      </c>
      <c r="J82">
        <f>IF(ABS(I82)&gt;0.01, "Priority 3", "None")</f>
        <v>0</v>
      </c>
    </row>
    <row r="83" spans="1:10">
      <c r="A83" t="s">
        <v>1152</v>
      </c>
      <c r="B83" t="s">
        <v>1071</v>
      </c>
      <c r="C83">
        <v>24</v>
      </c>
      <c r="D83">
        <v>44.4</v>
      </c>
      <c r="E83">
        <f>MAX(ROUNDUP(D83, 0), C83)</f>
        <v>0</v>
      </c>
      <c r="F83" s="2">
        <v>10.4</v>
      </c>
      <c r="G83" s="2">
        <f>E83*F83</f>
        <v>0</v>
      </c>
      <c r="H83" s="2">
        <v>468</v>
      </c>
      <c r="I83" s="2">
        <f>ROUND(H83-G83, 2)</f>
        <v>0</v>
      </c>
      <c r="J83">
        <f>IF(ABS(I83)&gt;0.01, "Priority 3", "None")</f>
        <v>0</v>
      </c>
    </row>
    <row r="84" spans="1:10">
      <c r="A84" t="s">
        <v>1153</v>
      </c>
      <c r="B84" t="s">
        <v>1071</v>
      </c>
      <c r="C84">
        <v>36</v>
      </c>
      <c r="D84">
        <v>28.9</v>
      </c>
      <c r="E84">
        <f>MAX(ROUNDUP(D84, 0), C84)</f>
        <v>0</v>
      </c>
      <c r="F84" s="2">
        <v>10.4</v>
      </c>
      <c r="G84" s="2">
        <f>E84*F84</f>
        <v>0</v>
      </c>
      <c r="H84" s="2">
        <v>374.4</v>
      </c>
      <c r="I84" s="2">
        <f>ROUND(H84-G84, 2)</f>
        <v>0</v>
      </c>
      <c r="J84">
        <f>IF(ABS(I84)&gt;0.01, "Priority 3", "None")</f>
        <v>0</v>
      </c>
    </row>
    <row r="85" spans="1:10">
      <c r="A85" t="s">
        <v>1154</v>
      </c>
      <c r="B85" t="s">
        <v>1071</v>
      </c>
      <c r="C85">
        <v>28</v>
      </c>
      <c r="D85">
        <v>25.1</v>
      </c>
      <c r="E85">
        <f>MAX(ROUNDUP(D85, 0), C85)</f>
        <v>0</v>
      </c>
      <c r="F85" s="2">
        <v>10.4</v>
      </c>
      <c r="G85" s="2">
        <f>E85*F85</f>
        <v>0</v>
      </c>
      <c r="H85" s="2">
        <v>291.2</v>
      </c>
      <c r="I85" s="2">
        <f>ROUND(H85-G85, 2)</f>
        <v>0</v>
      </c>
      <c r="J85">
        <f>IF(ABS(I85)&gt;0.01, "Priority 3", "None")</f>
        <v>0</v>
      </c>
    </row>
    <row r="86" spans="1:10">
      <c r="A86" t="s">
        <v>1155</v>
      </c>
      <c r="B86" t="s">
        <v>1071</v>
      </c>
      <c r="C86">
        <v>32</v>
      </c>
      <c r="D86">
        <v>33.5</v>
      </c>
      <c r="E86">
        <f>MAX(ROUNDUP(D86, 0), C86)</f>
        <v>0</v>
      </c>
      <c r="F86" s="2">
        <v>10.4</v>
      </c>
      <c r="G86" s="2">
        <f>E86*F86</f>
        <v>0</v>
      </c>
      <c r="H86" s="2">
        <v>353.6</v>
      </c>
      <c r="I86" s="2">
        <f>ROUND(H86-G86, 2)</f>
        <v>0</v>
      </c>
      <c r="J86">
        <f>IF(ABS(I86)&gt;0.01, "Priority 3", "None")</f>
        <v>0</v>
      </c>
    </row>
    <row r="87" spans="1:10">
      <c r="A87" t="s">
        <v>1156</v>
      </c>
      <c r="B87" t="s">
        <v>1071</v>
      </c>
      <c r="C87">
        <v>40</v>
      </c>
      <c r="D87">
        <v>34.6</v>
      </c>
      <c r="E87">
        <f>MAX(ROUNDUP(D87, 0), C87)</f>
        <v>0</v>
      </c>
      <c r="F87" s="2">
        <v>10.4</v>
      </c>
      <c r="G87" s="2">
        <f>E87*F87</f>
        <v>0</v>
      </c>
      <c r="H87" s="2">
        <v>416</v>
      </c>
      <c r="I87" s="2">
        <f>ROUND(H87-G87, 2)</f>
        <v>0</v>
      </c>
      <c r="J87">
        <f>IF(ABS(I87)&gt;0.01, "Priority 3", "None")</f>
        <v>0</v>
      </c>
    </row>
    <row r="88" spans="1:10">
      <c r="A88" t="s">
        <v>1157</v>
      </c>
      <c r="B88" t="s">
        <v>1071</v>
      </c>
      <c r="C88">
        <v>28</v>
      </c>
      <c r="D88">
        <v>28.5</v>
      </c>
      <c r="E88">
        <f>MAX(ROUNDUP(D88, 0), C88)</f>
        <v>0</v>
      </c>
      <c r="F88" s="2">
        <v>10.4</v>
      </c>
      <c r="G88" s="2">
        <f>E88*F88</f>
        <v>0</v>
      </c>
      <c r="H88" s="2">
        <v>301.6</v>
      </c>
      <c r="I88" s="2">
        <f>ROUND(H88-G88, 2)</f>
        <v>0</v>
      </c>
      <c r="J88">
        <f>IF(ABS(I88)&gt;0.01, "Priority 3", "None")</f>
        <v>0</v>
      </c>
    </row>
    <row r="89" spans="1:10">
      <c r="A89" t="s">
        <v>1158</v>
      </c>
      <c r="B89" t="s">
        <v>1071</v>
      </c>
      <c r="C89">
        <v>32</v>
      </c>
      <c r="D89">
        <v>53.6</v>
      </c>
      <c r="E89">
        <f>MAX(ROUNDUP(D89, 0), C89)</f>
        <v>0</v>
      </c>
      <c r="F89" s="2">
        <v>10.4</v>
      </c>
      <c r="G89" s="2">
        <f>E89*F89</f>
        <v>0</v>
      </c>
      <c r="H89" s="2">
        <v>561.6</v>
      </c>
      <c r="I89" s="2">
        <f>ROUND(H89-G89, 2)</f>
        <v>0</v>
      </c>
      <c r="J89">
        <f>IF(ABS(I89)&gt;0.01, "Priority 3", "None")</f>
        <v>0</v>
      </c>
    </row>
    <row r="90" spans="1:10">
      <c r="A90" t="s">
        <v>1159</v>
      </c>
      <c r="B90" t="s">
        <v>1071</v>
      </c>
      <c r="C90">
        <v>24</v>
      </c>
      <c r="D90">
        <v>34</v>
      </c>
      <c r="E90">
        <f>MAX(ROUNDUP(D90, 0), C90)</f>
        <v>0</v>
      </c>
      <c r="F90" s="2">
        <v>10.4</v>
      </c>
      <c r="G90" s="2">
        <f>E90*F90</f>
        <v>0</v>
      </c>
      <c r="H90" s="2">
        <v>353.6</v>
      </c>
      <c r="I90" s="2">
        <f>ROUND(H90-G90, 2)</f>
        <v>0</v>
      </c>
      <c r="J90">
        <f>IF(ABS(I90)&gt;0.01, "Priority 3", "None")</f>
        <v>0</v>
      </c>
    </row>
    <row r="91" spans="1:10">
      <c r="A91" t="s">
        <v>1160</v>
      </c>
      <c r="B91" t="s">
        <v>1071</v>
      </c>
      <c r="C91">
        <v>28</v>
      </c>
      <c r="D91">
        <v>57.8</v>
      </c>
      <c r="E91">
        <f>MAX(ROUNDUP(D91, 0), C91)</f>
        <v>0</v>
      </c>
      <c r="F91" s="2">
        <v>10.4</v>
      </c>
      <c r="G91" s="2">
        <f>E91*F91</f>
        <v>0</v>
      </c>
      <c r="H91" s="2">
        <v>603.2</v>
      </c>
      <c r="I91" s="2">
        <f>ROUND(H91-G91, 2)</f>
        <v>0</v>
      </c>
      <c r="J91">
        <f>IF(ABS(I91)&gt;0.01, "Priority 3", "None")</f>
        <v>0</v>
      </c>
    </row>
    <row r="92" spans="1:10">
      <c r="A92" t="s">
        <v>1161</v>
      </c>
      <c r="B92" t="s">
        <v>1071</v>
      </c>
      <c r="C92">
        <v>28</v>
      </c>
      <c r="D92">
        <v>57.9</v>
      </c>
      <c r="E92">
        <f>MAX(ROUNDUP(D92, 0), C92)</f>
        <v>0</v>
      </c>
      <c r="F92" s="2">
        <v>10.4</v>
      </c>
      <c r="G92" s="2">
        <f>E92*F92</f>
        <v>0</v>
      </c>
      <c r="H92" s="2">
        <v>603.2</v>
      </c>
      <c r="I92" s="2">
        <f>ROUND(H92-G92, 2)</f>
        <v>0</v>
      </c>
      <c r="J92">
        <f>IF(ABS(I92)&gt;0.01, "Priority 3", "None")</f>
        <v>0</v>
      </c>
    </row>
    <row r="93" spans="1:10">
      <c r="A93" t="s">
        <v>1162</v>
      </c>
      <c r="B93" t="s">
        <v>1071</v>
      </c>
      <c r="C93">
        <v>24</v>
      </c>
      <c r="D93">
        <v>46.7</v>
      </c>
      <c r="E93">
        <f>MAX(ROUNDUP(D93, 0), C93)</f>
        <v>0</v>
      </c>
      <c r="F93" s="2">
        <v>10.4</v>
      </c>
      <c r="G93" s="2">
        <f>E93*F93</f>
        <v>0</v>
      </c>
      <c r="H93" s="2">
        <v>488.8</v>
      </c>
      <c r="I93" s="2">
        <f>ROUND(H93-G93, 2)</f>
        <v>0</v>
      </c>
      <c r="J93">
        <f>IF(ABS(I93)&gt;0.01, "Priority 3", "None")</f>
        <v>0</v>
      </c>
    </row>
    <row r="94" spans="1:10">
      <c r="A94" t="s">
        <v>1163</v>
      </c>
      <c r="B94" t="s">
        <v>1071</v>
      </c>
      <c r="C94">
        <v>32</v>
      </c>
      <c r="D94">
        <v>41</v>
      </c>
      <c r="E94">
        <f>MAX(ROUNDUP(D94, 0), C94)</f>
        <v>0</v>
      </c>
      <c r="F94" s="2">
        <v>10.4</v>
      </c>
      <c r="G94" s="2">
        <f>E94*F94</f>
        <v>0</v>
      </c>
      <c r="H94" s="2">
        <v>426.4</v>
      </c>
      <c r="I94" s="2">
        <f>ROUND(H94-G94, 2)</f>
        <v>0</v>
      </c>
      <c r="J94">
        <f>IF(ABS(I94)&gt;0.01, "Priority 3", "None")</f>
        <v>0</v>
      </c>
    </row>
    <row r="95" spans="1:10">
      <c r="A95" t="s">
        <v>1164</v>
      </c>
      <c r="B95" t="s">
        <v>1071</v>
      </c>
      <c r="C95">
        <v>24</v>
      </c>
      <c r="D95">
        <v>56.6</v>
      </c>
      <c r="E95">
        <f>MAX(ROUNDUP(D95, 0), C95)</f>
        <v>0</v>
      </c>
      <c r="F95" s="2">
        <v>10.4</v>
      </c>
      <c r="G95" s="2">
        <f>E95*F95</f>
        <v>0</v>
      </c>
      <c r="H95" s="2">
        <v>592.8</v>
      </c>
      <c r="I95" s="2">
        <f>ROUND(H95-G95, 2)</f>
        <v>0</v>
      </c>
      <c r="J95">
        <f>IF(ABS(I95)&gt;0.01, "Priority 3", "None")</f>
        <v>0</v>
      </c>
    </row>
    <row r="96" spans="1:10">
      <c r="A96" t="s">
        <v>1165</v>
      </c>
      <c r="B96" t="s">
        <v>1071</v>
      </c>
      <c r="C96">
        <v>32</v>
      </c>
      <c r="D96">
        <v>50</v>
      </c>
      <c r="E96">
        <f>MAX(ROUNDUP(D96, 0), C96)</f>
        <v>0</v>
      </c>
      <c r="F96" s="2">
        <v>10.4</v>
      </c>
      <c r="G96" s="2">
        <f>E96*F96</f>
        <v>0</v>
      </c>
      <c r="H96" s="2">
        <v>520</v>
      </c>
      <c r="I96" s="2">
        <f>ROUND(H96-G96, 2)</f>
        <v>0</v>
      </c>
      <c r="J96">
        <f>IF(ABS(I96)&gt;0.01, "Priority 3", "None")</f>
        <v>0</v>
      </c>
    </row>
    <row r="97" spans="1:10">
      <c r="A97" t="s">
        <v>1166</v>
      </c>
      <c r="B97" t="s">
        <v>1071</v>
      </c>
      <c r="C97">
        <v>36</v>
      </c>
      <c r="D97">
        <v>58.7</v>
      </c>
      <c r="E97">
        <f>MAX(ROUNDUP(D97, 0), C97)</f>
        <v>0</v>
      </c>
      <c r="F97" s="2">
        <v>10.4</v>
      </c>
      <c r="G97" s="2">
        <f>E97*F97</f>
        <v>0</v>
      </c>
      <c r="H97" s="2">
        <v>613.6</v>
      </c>
      <c r="I97" s="2">
        <f>ROUND(H97-G97, 2)</f>
        <v>0</v>
      </c>
      <c r="J97">
        <f>IF(ABS(I97)&gt;0.01, "Priority 3", "None")</f>
        <v>0</v>
      </c>
    </row>
    <row r="98" spans="1:10">
      <c r="A98" t="s">
        <v>1167</v>
      </c>
      <c r="B98" t="s">
        <v>1071</v>
      </c>
      <c r="C98">
        <v>40</v>
      </c>
      <c r="D98">
        <v>23.7</v>
      </c>
      <c r="E98">
        <f>MAX(ROUNDUP(D98, 0), C98)</f>
        <v>0</v>
      </c>
      <c r="F98" s="2">
        <v>10.4</v>
      </c>
      <c r="G98" s="2">
        <f>E98*F98</f>
        <v>0</v>
      </c>
      <c r="H98" s="2">
        <v>416</v>
      </c>
      <c r="I98" s="2">
        <f>ROUND(H98-G98, 2)</f>
        <v>0</v>
      </c>
      <c r="J98">
        <f>IF(ABS(I98)&gt;0.01, "Priority 3", "None")</f>
        <v>0</v>
      </c>
    </row>
    <row r="99" spans="1:10">
      <c r="A99" t="s">
        <v>1168</v>
      </c>
      <c r="B99" t="s">
        <v>1071</v>
      </c>
      <c r="C99">
        <v>40</v>
      </c>
      <c r="D99">
        <v>19</v>
      </c>
      <c r="E99">
        <f>MAX(ROUNDUP(D99, 0), C99)</f>
        <v>0</v>
      </c>
      <c r="F99" s="2">
        <v>10.4</v>
      </c>
      <c r="G99" s="2">
        <f>E99*F99</f>
        <v>0</v>
      </c>
      <c r="H99" s="2">
        <v>416</v>
      </c>
      <c r="I99" s="2">
        <f>ROUND(H99-G99, 2)</f>
        <v>0</v>
      </c>
      <c r="J99">
        <f>IF(ABS(I99)&gt;0.01, "Priority 3", "None")</f>
        <v>0</v>
      </c>
    </row>
    <row r="100" spans="1:10">
      <c r="A100" t="s">
        <v>1169</v>
      </c>
      <c r="B100" t="s">
        <v>1071</v>
      </c>
      <c r="C100">
        <v>24</v>
      </c>
      <c r="D100">
        <v>40.2</v>
      </c>
      <c r="E100">
        <f>MAX(ROUNDUP(D100, 0), C100)</f>
        <v>0</v>
      </c>
      <c r="F100" s="2">
        <v>10.4</v>
      </c>
      <c r="G100" s="2">
        <f>E100*F100</f>
        <v>0</v>
      </c>
      <c r="H100" s="2">
        <v>426.4</v>
      </c>
      <c r="I100" s="2">
        <f>ROUND(H100-G100, 2)</f>
        <v>0</v>
      </c>
      <c r="J100">
        <f>IF(ABS(I100)&gt;0.01, "Priority 3", "None")</f>
        <v>0</v>
      </c>
    </row>
    <row r="101" spans="1:10">
      <c r="A101" t="s">
        <v>1170</v>
      </c>
      <c r="B101" t="s">
        <v>1071</v>
      </c>
      <c r="C101">
        <v>28</v>
      </c>
      <c r="D101">
        <v>23.3</v>
      </c>
      <c r="E101">
        <f>MAX(ROUNDUP(D101, 0), C101)</f>
        <v>0</v>
      </c>
      <c r="F101" s="2">
        <v>10.4</v>
      </c>
      <c r="G101" s="2">
        <f>E101*F101</f>
        <v>0</v>
      </c>
      <c r="H101" s="2">
        <v>291.2</v>
      </c>
      <c r="I101" s="2">
        <f>ROUND(H101-G101, 2)</f>
        <v>0</v>
      </c>
      <c r="J101">
        <f>IF(ABS(I101)&gt;0.01, "Priority 3", "None")</f>
        <v>0</v>
      </c>
    </row>
    <row r="102" spans="1:10">
      <c r="A102" t="s">
        <v>1171</v>
      </c>
      <c r="B102" t="s">
        <v>1071</v>
      </c>
      <c r="C102">
        <v>40</v>
      </c>
      <c r="D102">
        <v>18.9</v>
      </c>
      <c r="E102">
        <f>MAX(ROUNDUP(D102, 0), C102)</f>
        <v>0</v>
      </c>
      <c r="F102" s="2">
        <v>10.4</v>
      </c>
      <c r="G102" s="2">
        <f>E102*F102</f>
        <v>0</v>
      </c>
      <c r="H102" s="2">
        <v>416</v>
      </c>
      <c r="I102" s="2">
        <f>ROUND(H102-G102, 2)</f>
        <v>0</v>
      </c>
      <c r="J102">
        <f>IF(ABS(I102)&gt;0.01, "Priority 3", "None")</f>
        <v>0</v>
      </c>
    </row>
    <row r="103" spans="1:10">
      <c r="A103" t="s">
        <v>1172</v>
      </c>
      <c r="B103" t="s">
        <v>1071</v>
      </c>
      <c r="C103">
        <v>36</v>
      </c>
      <c r="D103">
        <v>55</v>
      </c>
      <c r="E103">
        <f>MAX(ROUNDUP(D103, 0), C103)</f>
        <v>0</v>
      </c>
      <c r="F103" s="2">
        <v>10.4</v>
      </c>
      <c r="G103" s="2">
        <f>E103*F103</f>
        <v>0</v>
      </c>
      <c r="H103" s="2">
        <v>572</v>
      </c>
      <c r="I103" s="2">
        <f>ROUND(H103-G103, 2)</f>
        <v>0</v>
      </c>
      <c r="J103">
        <f>IF(ABS(I103)&gt;0.01, "Priority 3", "None")</f>
        <v>0</v>
      </c>
    </row>
    <row r="104" spans="1:10">
      <c r="A104" t="s">
        <v>1173</v>
      </c>
      <c r="B104" t="s">
        <v>1071</v>
      </c>
      <c r="C104">
        <v>36</v>
      </c>
      <c r="D104">
        <v>34.6</v>
      </c>
      <c r="E104">
        <f>MAX(ROUNDUP(D104, 0), C104)</f>
        <v>0</v>
      </c>
      <c r="F104" s="2">
        <v>10.4</v>
      </c>
      <c r="G104" s="2">
        <f>E104*F104</f>
        <v>0</v>
      </c>
      <c r="H104" s="2">
        <v>374.4</v>
      </c>
      <c r="I104" s="2">
        <f>ROUND(H104-G104, 2)</f>
        <v>0</v>
      </c>
      <c r="J104">
        <f>IF(ABS(I104)&gt;0.01, "Priority 3", "None")</f>
        <v>0</v>
      </c>
    </row>
    <row r="105" spans="1:10">
      <c r="A105" t="s">
        <v>1174</v>
      </c>
      <c r="B105" t="s">
        <v>1071</v>
      </c>
      <c r="C105">
        <v>32</v>
      </c>
      <c r="D105">
        <v>36.5</v>
      </c>
      <c r="E105">
        <f>MAX(ROUNDUP(D105, 0), C105)</f>
        <v>0</v>
      </c>
      <c r="F105" s="2">
        <v>10.4</v>
      </c>
      <c r="G105" s="2">
        <f>E105*F105</f>
        <v>0</v>
      </c>
      <c r="H105" s="2">
        <v>384.8</v>
      </c>
      <c r="I105" s="2">
        <f>ROUND(H105-G105, 2)</f>
        <v>0</v>
      </c>
      <c r="J105">
        <f>IF(ABS(I105)&gt;0.01, "Priority 3", "None")</f>
        <v>0</v>
      </c>
    </row>
    <row r="106" spans="1:10">
      <c r="A106" t="s">
        <v>1175</v>
      </c>
      <c r="B106" t="s">
        <v>1071</v>
      </c>
      <c r="C106">
        <v>32</v>
      </c>
      <c r="D106">
        <v>38.5</v>
      </c>
      <c r="E106">
        <f>MAX(ROUNDUP(D106, 0), C106)</f>
        <v>0</v>
      </c>
      <c r="F106" s="2">
        <v>10.4</v>
      </c>
      <c r="G106" s="2">
        <f>E106*F106</f>
        <v>0</v>
      </c>
      <c r="H106" s="2">
        <v>405.6</v>
      </c>
      <c r="I106" s="2">
        <f>ROUND(H106-G106, 2)</f>
        <v>0</v>
      </c>
      <c r="J106">
        <f>IF(ABS(I106)&gt;0.01, "Priority 3", "None")</f>
        <v>0</v>
      </c>
    </row>
    <row r="107" spans="1:10">
      <c r="A107" t="s">
        <v>1176</v>
      </c>
      <c r="B107" t="s">
        <v>1071</v>
      </c>
      <c r="C107">
        <v>40</v>
      </c>
      <c r="D107">
        <v>39.5</v>
      </c>
      <c r="E107">
        <f>MAX(ROUNDUP(D107, 0), C107)</f>
        <v>0</v>
      </c>
      <c r="F107" s="2">
        <v>10.4</v>
      </c>
      <c r="G107" s="2">
        <f>E107*F107</f>
        <v>0</v>
      </c>
      <c r="H107" s="2">
        <v>416</v>
      </c>
      <c r="I107" s="2">
        <f>ROUND(H107-G107, 2)</f>
        <v>0</v>
      </c>
      <c r="J107">
        <f>IF(ABS(I107)&gt;0.01, "Priority 3", "None")</f>
        <v>0</v>
      </c>
    </row>
    <row r="108" spans="1:10">
      <c r="A108" t="s">
        <v>1177</v>
      </c>
      <c r="B108" t="s">
        <v>1071</v>
      </c>
      <c r="C108">
        <v>40</v>
      </c>
      <c r="D108">
        <v>60.6</v>
      </c>
      <c r="E108">
        <f>MAX(ROUNDUP(D108, 0), C108)</f>
        <v>0</v>
      </c>
      <c r="F108" s="2">
        <v>10.4</v>
      </c>
      <c r="G108" s="2">
        <f>E108*F108</f>
        <v>0</v>
      </c>
      <c r="H108" s="2">
        <v>634.4</v>
      </c>
      <c r="I108" s="2">
        <f>ROUND(H108-G108, 2)</f>
        <v>0</v>
      </c>
      <c r="J108">
        <f>IF(ABS(I108)&gt;0.01, "Priority 3", "None")</f>
        <v>0</v>
      </c>
    </row>
    <row r="109" spans="1:10">
      <c r="A109" t="s">
        <v>1178</v>
      </c>
      <c r="B109" t="s">
        <v>1071</v>
      </c>
      <c r="C109">
        <v>24</v>
      </c>
      <c r="D109">
        <v>24.2</v>
      </c>
      <c r="E109">
        <f>MAX(ROUNDUP(D109, 0), C109)</f>
        <v>0</v>
      </c>
      <c r="F109" s="2">
        <v>10.4</v>
      </c>
      <c r="G109" s="2">
        <f>E109*F109</f>
        <v>0</v>
      </c>
      <c r="H109" s="2">
        <v>260</v>
      </c>
      <c r="I109" s="2">
        <f>ROUND(H109-G109, 2)</f>
        <v>0</v>
      </c>
      <c r="J109">
        <f>IF(ABS(I109)&gt;0.01, "Priority 3", "None")</f>
        <v>0</v>
      </c>
    </row>
    <row r="110" spans="1:10">
      <c r="A110" t="s">
        <v>1179</v>
      </c>
      <c r="B110" t="s">
        <v>1071</v>
      </c>
      <c r="C110">
        <v>28</v>
      </c>
      <c r="D110">
        <v>24.6</v>
      </c>
      <c r="E110">
        <f>MAX(ROUNDUP(D110, 0), C110)</f>
        <v>0</v>
      </c>
      <c r="F110" s="2">
        <v>10.4</v>
      </c>
      <c r="G110" s="2">
        <f>E110*F110</f>
        <v>0</v>
      </c>
      <c r="H110" s="2">
        <v>291.2</v>
      </c>
      <c r="I110" s="2">
        <f>ROUND(H110-G110, 2)</f>
        <v>0</v>
      </c>
      <c r="J110">
        <f>IF(ABS(I110)&gt;0.01, "Priority 3", "None")</f>
        <v>0</v>
      </c>
    </row>
    <row r="111" spans="1:10">
      <c r="A111" t="s">
        <v>1180</v>
      </c>
      <c r="B111" t="s">
        <v>1071</v>
      </c>
      <c r="C111">
        <v>24</v>
      </c>
      <c r="D111">
        <v>29.3</v>
      </c>
      <c r="E111">
        <f>MAX(ROUNDUP(D111, 0), C111)</f>
        <v>0</v>
      </c>
      <c r="F111" s="2">
        <v>10.4</v>
      </c>
      <c r="G111" s="2">
        <f>E111*F111</f>
        <v>0</v>
      </c>
      <c r="H111" s="2">
        <v>312</v>
      </c>
      <c r="I111" s="2">
        <f>ROUND(H111-G111, 2)</f>
        <v>0</v>
      </c>
      <c r="J111">
        <f>IF(ABS(I111)&gt;0.01, "Priority 3", "None")</f>
        <v>0</v>
      </c>
    </row>
    <row r="112" spans="1:10">
      <c r="A112" t="s">
        <v>1181</v>
      </c>
      <c r="B112" t="s">
        <v>1071</v>
      </c>
      <c r="C112">
        <v>36</v>
      </c>
      <c r="D112">
        <v>57.7</v>
      </c>
      <c r="E112">
        <f>MAX(ROUNDUP(D112, 0), C112)</f>
        <v>0</v>
      </c>
      <c r="F112" s="2">
        <v>10.4</v>
      </c>
      <c r="G112" s="2">
        <f>E112*F112</f>
        <v>0</v>
      </c>
      <c r="H112" s="2">
        <v>603.2</v>
      </c>
      <c r="I112" s="2">
        <f>ROUND(H112-G112, 2)</f>
        <v>0</v>
      </c>
      <c r="J112">
        <f>IF(ABS(I112)&gt;0.01, "Priority 3", "None")</f>
        <v>0</v>
      </c>
    </row>
    <row r="113" spans="1:10">
      <c r="A113" t="s">
        <v>1182</v>
      </c>
      <c r="B113" t="s">
        <v>1071</v>
      </c>
      <c r="C113">
        <v>28</v>
      </c>
      <c r="D113">
        <v>32.2</v>
      </c>
      <c r="E113">
        <f>MAX(ROUNDUP(D113, 0), C113)</f>
        <v>0</v>
      </c>
      <c r="F113" s="2">
        <v>10.4</v>
      </c>
      <c r="G113" s="2">
        <f>E113*F113</f>
        <v>0</v>
      </c>
      <c r="H113" s="2">
        <v>343.2</v>
      </c>
      <c r="I113" s="2">
        <f>ROUND(H113-G113, 2)</f>
        <v>0</v>
      </c>
      <c r="J113">
        <f>IF(ABS(I113)&gt;0.01, "Priority 3", "None")</f>
        <v>0</v>
      </c>
    </row>
    <row r="114" spans="1:10">
      <c r="A114" t="s">
        <v>1183</v>
      </c>
      <c r="B114" t="s">
        <v>1071</v>
      </c>
      <c r="C114">
        <v>40</v>
      </c>
      <c r="D114">
        <v>51</v>
      </c>
      <c r="E114">
        <f>MAX(ROUNDUP(D114, 0), C114)</f>
        <v>0</v>
      </c>
      <c r="F114" s="2">
        <v>10.4</v>
      </c>
      <c r="G114" s="2">
        <f>E114*F114</f>
        <v>0</v>
      </c>
      <c r="H114" s="2">
        <v>530.4</v>
      </c>
      <c r="I114" s="2">
        <f>ROUND(H114-G114, 2)</f>
        <v>0</v>
      </c>
      <c r="J114">
        <f>IF(ABS(I114)&gt;0.01, "Priority 3", "None")</f>
        <v>0</v>
      </c>
    </row>
    <row r="115" spans="1:10">
      <c r="A115" t="s">
        <v>1184</v>
      </c>
      <c r="B115" t="s">
        <v>1071</v>
      </c>
      <c r="C115">
        <v>24</v>
      </c>
      <c r="D115">
        <v>50.9</v>
      </c>
      <c r="E115">
        <f>MAX(ROUNDUP(D115, 0), C115)</f>
        <v>0</v>
      </c>
      <c r="F115" s="2">
        <v>10.4</v>
      </c>
      <c r="G115" s="2">
        <f>E115*F115</f>
        <v>0</v>
      </c>
      <c r="H115" s="2">
        <v>530.4</v>
      </c>
      <c r="I115" s="2">
        <f>ROUND(H115-G115, 2)</f>
        <v>0</v>
      </c>
      <c r="J115">
        <f>IF(ABS(I115)&gt;0.01, "Priority 3", "None")</f>
        <v>0</v>
      </c>
    </row>
    <row r="116" spans="1:10">
      <c r="A116" t="s">
        <v>1185</v>
      </c>
      <c r="B116" t="s">
        <v>1071</v>
      </c>
      <c r="C116">
        <v>24</v>
      </c>
      <c r="D116">
        <v>61.2</v>
      </c>
      <c r="E116">
        <f>MAX(ROUNDUP(D116, 0), C116)</f>
        <v>0</v>
      </c>
      <c r="F116" s="2">
        <v>10.4</v>
      </c>
      <c r="G116" s="2">
        <f>E116*F116</f>
        <v>0</v>
      </c>
      <c r="H116" s="2">
        <v>644.8</v>
      </c>
      <c r="I116" s="2">
        <f>ROUND(H116-G116, 2)</f>
        <v>0</v>
      </c>
      <c r="J116">
        <f>IF(ABS(I116)&gt;0.01, "Priority 3", "None")</f>
        <v>0</v>
      </c>
    </row>
    <row r="117" spans="1:10">
      <c r="A117" t="s">
        <v>1186</v>
      </c>
      <c r="B117" t="s">
        <v>1071</v>
      </c>
      <c r="C117">
        <v>40</v>
      </c>
      <c r="D117">
        <v>30.7</v>
      </c>
      <c r="E117">
        <f>MAX(ROUNDUP(D117, 0), C117)</f>
        <v>0</v>
      </c>
      <c r="F117" s="2">
        <v>10.4</v>
      </c>
      <c r="G117" s="2">
        <f>E117*F117</f>
        <v>0</v>
      </c>
      <c r="H117" s="2">
        <v>416</v>
      </c>
      <c r="I117" s="2">
        <f>ROUND(H117-G117, 2)</f>
        <v>0</v>
      </c>
      <c r="J117">
        <f>IF(ABS(I117)&gt;0.01, "Priority 3", "None")</f>
        <v>0</v>
      </c>
    </row>
    <row r="118" spans="1:10">
      <c r="A118" t="s">
        <v>1187</v>
      </c>
      <c r="B118" t="s">
        <v>1071</v>
      </c>
      <c r="C118">
        <v>28</v>
      </c>
      <c r="D118">
        <v>22.6</v>
      </c>
      <c r="E118">
        <f>MAX(ROUNDUP(D118, 0), C118)</f>
        <v>0</v>
      </c>
      <c r="F118" s="2">
        <v>10.4</v>
      </c>
      <c r="G118" s="2">
        <f>E118*F118</f>
        <v>0</v>
      </c>
      <c r="H118" s="2">
        <v>291.2</v>
      </c>
      <c r="I118" s="2">
        <f>ROUND(H118-G118, 2)</f>
        <v>0</v>
      </c>
      <c r="J118">
        <f>IF(ABS(I118)&gt;0.01, "Priority 3", "None")</f>
        <v>0</v>
      </c>
    </row>
    <row r="119" spans="1:10">
      <c r="A119" t="s">
        <v>1188</v>
      </c>
      <c r="B119" t="s">
        <v>1071</v>
      </c>
      <c r="C119">
        <v>24</v>
      </c>
      <c r="D119">
        <v>37.3</v>
      </c>
      <c r="E119">
        <f>MAX(ROUNDUP(D119, 0), C119)</f>
        <v>0</v>
      </c>
      <c r="F119" s="2">
        <v>10.4</v>
      </c>
      <c r="G119" s="2">
        <f>E119*F119</f>
        <v>0</v>
      </c>
      <c r="H119" s="2">
        <v>395.2</v>
      </c>
      <c r="I119" s="2">
        <f>ROUND(H119-G119, 2)</f>
        <v>0</v>
      </c>
      <c r="J119">
        <f>IF(ABS(I119)&gt;0.01, "Priority 3", "None")</f>
        <v>0</v>
      </c>
    </row>
    <row r="120" spans="1:10">
      <c r="A120" t="s">
        <v>1189</v>
      </c>
      <c r="B120" t="s">
        <v>1071</v>
      </c>
      <c r="C120">
        <v>28</v>
      </c>
      <c r="D120">
        <v>34.5</v>
      </c>
      <c r="E120">
        <f>MAX(ROUNDUP(D120, 0), C120)</f>
        <v>0</v>
      </c>
      <c r="F120" s="2">
        <v>10.4</v>
      </c>
      <c r="G120" s="2">
        <f>E120*F120</f>
        <v>0</v>
      </c>
      <c r="H120" s="2">
        <v>364</v>
      </c>
      <c r="I120" s="2">
        <f>ROUND(H120-G120, 2)</f>
        <v>0</v>
      </c>
      <c r="J120">
        <f>IF(ABS(I120)&gt;0.01, "Priority 3", "None")</f>
        <v>0</v>
      </c>
    </row>
    <row r="121" spans="1:10">
      <c r="A121" t="s">
        <v>1190</v>
      </c>
      <c r="B121" t="s">
        <v>1071</v>
      </c>
      <c r="C121">
        <v>24</v>
      </c>
      <c r="D121">
        <v>60.7</v>
      </c>
      <c r="E121">
        <f>MAX(ROUNDUP(D121, 0), C121)</f>
        <v>0</v>
      </c>
      <c r="F121" s="2">
        <v>10.4</v>
      </c>
      <c r="G121" s="2">
        <f>E121*F121</f>
        <v>0</v>
      </c>
      <c r="H121" s="2">
        <v>634.4</v>
      </c>
      <c r="I121" s="2">
        <f>ROUND(H121-G121, 2)</f>
        <v>0</v>
      </c>
      <c r="J121">
        <f>IF(ABS(I121)&gt;0.01, "Priority 3", "None")</f>
        <v>0</v>
      </c>
    </row>
    <row r="122" spans="1:10">
      <c r="A122" t="s">
        <v>1191</v>
      </c>
      <c r="B122" t="s">
        <v>1071</v>
      </c>
      <c r="C122">
        <v>32</v>
      </c>
      <c r="D122">
        <v>18.6</v>
      </c>
      <c r="E122">
        <f>MAX(ROUNDUP(D122, 0), C122)</f>
        <v>0</v>
      </c>
      <c r="F122" s="2">
        <v>10.4</v>
      </c>
      <c r="G122" s="2">
        <f>E122*F122</f>
        <v>0</v>
      </c>
      <c r="H122" s="2">
        <v>332.8</v>
      </c>
      <c r="I122" s="2">
        <f>ROUND(H122-G122, 2)</f>
        <v>0</v>
      </c>
      <c r="J122">
        <f>IF(ABS(I122)&gt;0.01, "Priority 3", "None")</f>
        <v>0</v>
      </c>
    </row>
    <row r="123" spans="1:10">
      <c r="A123" t="s">
        <v>1192</v>
      </c>
      <c r="B123" t="s">
        <v>1071</v>
      </c>
      <c r="C123">
        <v>24</v>
      </c>
      <c r="D123">
        <v>52.8</v>
      </c>
      <c r="E123">
        <f>MAX(ROUNDUP(D123, 0), C123)</f>
        <v>0</v>
      </c>
      <c r="F123" s="2">
        <v>10.4</v>
      </c>
      <c r="G123" s="2">
        <f>E123*F123</f>
        <v>0</v>
      </c>
      <c r="H123" s="2">
        <v>551.2</v>
      </c>
      <c r="I123" s="2">
        <f>ROUND(H123-G123, 2)</f>
        <v>0</v>
      </c>
      <c r="J123">
        <f>IF(ABS(I123)&gt;0.01, "Priority 3", "None")</f>
        <v>0</v>
      </c>
    </row>
    <row r="124" spans="1:10">
      <c r="A124" t="s">
        <v>1193</v>
      </c>
      <c r="B124" t="s">
        <v>1071</v>
      </c>
      <c r="C124">
        <v>28</v>
      </c>
      <c r="D124">
        <v>18.7</v>
      </c>
      <c r="E124">
        <f>MAX(ROUNDUP(D124, 0), C124)</f>
        <v>0</v>
      </c>
      <c r="F124" s="2">
        <v>10.4</v>
      </c>
      <c r="G124" s="2">
        <f>E124*F124</f>
        <v>0</v>
      </c>
      <c r="H124" s="2">
        <v>291.2</v>
      </c>
      <c r="I124" s="2">
        <f>ROUND(H124-G124, 2)</f>
        <v>0</v>
      </c>
      <c r="J124">
        <f>IF(ABS(I124)&gt;0.01, "Priority 3", "None")</f>
        <v>0</v>
      </c>
    </row>
    <row r="125" spans="1:10">
      <c r="A125" t="s">
        <v>1194</v>
      </c>
      <c r="B125" t="s">
        <v>1071</v>
      </c>
      <c r="C125">
        <v>36</v>
      </c>
      <c r="D125">
        <v>37.5</v>
      </c>
      <c r="E125">
        <f>MAX(ROUNDUP(D125, 0), C125)</f>
        <v>0</v>
      </c>
      <c r="F125" s="2">
        <v>10.4</v>
      </c>
      <c r="G125" s="2">
        <f>E125*F125</f>
        <v>0</v>
      </c>
      <c r="H125" s="2">
        <v>395.2</v>
      </c>
      <c r="I125" s="2">
        <f>ROUND(H125-G125, 2)</f>
        <v>0</v>
      </c>
      <c r="J125">
        <f>IF(ABS(I125)&gt;0.01, "Priority 3", "None")</f>
        <v>0</v>
      </c>
    </row>
    <row r="126" spans="1:10">
      <c r="A126" t="s">
        <v>1195</v>
      </c>
      <c r="B126" t="s">
        <v>1071</v>
      </c>
      <c r="C126">
        <v>24</v>
      </c>
      <c r="D126">
        <v>51.4</v>
      </c>
      <c r="E126">
        <f>MAX(ROUNDUP(D126, 0), C126)</f>
        <v>0</v>
      </c>
      <c r="F126" s="2">
        <v>10.4</v>
      </c>
      <c r="G126" s="2">
        <f>E126*F126</f>
        <v>0</v>
      </c>
      <c r="H126" s="2">
        <v>540.8</v>
      </c>
      <c r="I126" s="2">
        <f>ROUND(H126-G126, 2)</f>
        <v>0</v>
      </c>
      <c r="J126">
        <f>IF(ABS(I126)&gt;0.01, "Priority 3", "None")</f>
        <v>0</v>
      </c>
    </row>
    <row r="127" spans="1:10">
      <c r="A127" t="s">
        <v>1196</v>
      </c>
      <c r="B127" t="s">
        <v>1071</v>
      </c>
      <c r="C127">
        <v>28</v>
      </c>
      <c r="D127">
        <v>35.6</v>
      </c>
      <c r="E127">
        <f>MAX(ROUNDUP(D127, 0), C127)</f>
        <v>0</v>
      </c>
      <c r="F127" s="2">
        <v>10.4</v>
      </c>
      <c r="G127" s="2">
        <f>E127*F127</f>
        <v>0</v>
      </c>
      <c r="H127" s="2">
        <v>374.4</v>
      </c>
      <c r="I127" s="2">
        <f>ROUND(H127-G127, 2)</f>
        <v>0</v>
      </c>
      <c r="J127">
        <f>IF(ABS(I127)&gt;0.01, "Priority 3", "None")</f>
        <v>0</v>
      </c>
    </row>
    <row r="128" spans="1:10">
      <c r="A128" t="s">
        <v>1197</v>
      </c>
      <c r="B128" t="s">
        <v>1071</v>
      </c>
      <c r="C128">
        <v>32</v>
      </c>
      <c r="D128">
        <v>30.1</v>
      </c>
      <c r="E128">
        <f>MAX(ROUNDUP(D128, 0), C128)</f>
        <v>0</v>
      </c>
      <c r="F128" s="2">
        <v>10.4</v>
      </c>
      <c r="G128" s="2">
        <f>E128*F128</f>
        <v>0</v>
      </c>
      <c r="H128" s="2">
        <v>332.8</v>
      </c>
      <c r="I128" s="2">
        <f>ROUND(H128-G128, 2)</f>
        <v>0</v>
      </c>
      <c r="J128">
        <f>IF(ABS(I128)&gt;0.01, "Priority 3", "None")</f>
        <v>0</v>
      </c>
    </row>
    <row r="129" spans="1:10">
      <c r="A129" t="s">
        <v>1198</v>
      </c>
      <c r="B129" t="s">
        <v>1071</v>
      </c>
      <c r="C129">
        <v>32</v>
      </c>
      <c r="D129">
        <v>40.5</v>
      </c>
      <c r="E129">
        <f>MAX(ROUNDUP(D129, 0), C129)</f>
        <v>0</v>
      </c>
      <c r="F129" s="2">
        <v>10.4</v>
      </c>
      <c r="G129" s="2">
        <f>E129*F129</f>
        <v>0</v>
      </c>
      <c r="H129" s="2">
        <v>426.4</v>
      </c>
      <c r="I129" s="2">
        <f>ROUND(H129-G129, 2)</f>
        <v>0</v>
      </c>
      <c r="J129">
        <f>IF(ABS(I129)&gt;0.01, "Priority 3", "None")</f>
        <v>0</v>
      </c>
    </row>
    <row r="130" spans="1:10">
      <c r="A130" t="s">
        <v>1199</v>
      </c>
      <c r="B130" t="s">
        <v>1071</v>
      </c>
      <c r="C130">
        <v>40</v>
      </c>
      <c r="D130">
        <v>22</v>
      </c>
      <c r="E130">
        <f>MAX(ROUNDUP(D130, 0), C130)</f>
        <v>0</v>
      </c>
      <c r="F130" s="2">
        <v>10.4</v>
      </c>
      <c r="G130" s="2">
        <f>E130*F130</f>
        <v>0</v>
      </c>
      <c r="H130" s="2">
        <v>416</v>
      </c>
      <c r="I130" s="2">
        <f>ROUND(H130-G130, 2)</f>
        <v>0</v>
      </c>
      <c r="J130">
        <f>IF(ABS(I130)&gt;0.01, "Priority 3", "None")</f>
        <v>0</v>
      </c>
    </row>
    <row r="131" spans="1:10">
      <c r="A131" t="s">
        <v>1200</v>
      </c>
      <c r="B131" t="s">
        <v>1071</v>
      </c>
      <c r="C131">
        <v>32</v>
      </c>
      <c r="D131">
        <v>39.4</v>
      </c>
      <c r="E131">
        <f>MAX(ROUNDUP(D131, 0), C131)</f>
        <v>0</v>
      </c>
      <c r="F131" s="2">
        <v>10.4</v>
      </c>
      <c r="G131" s="2">
        <f>E131*F131</f>
        <v>0</v>
      </c>
      <c r="H131" s="2">
        <v>416</v>
      </c>
      <c r="I131" s="2">
        <f>ROUND(H131-G131, 2)</f>
        <v>0</v>
      </c>
      <c r="J131">
        <f>IF(ABS(I131)&gt;0.01, "Priority 3", "None")</f>
        <v>0</v>
      </c>
    </row>
    <row r="132" spans="1:10">
      <c r="A132" t="s">
        <v>1201</v>
      </c>
      <c r="B132" t="s">
        <v>1071</v>
      </c>
      <c r="C132">
        <v>32</v>
      </c>
      <c r="D132">
        <v>53.9</v>
      </c>
      <c r="E132">
        <f>MAX(ROUNDUP(D132, 0), C132)</f>
        <v>0</v>
      </c>
      <c r="F132" s="2">
        <v>10.4</v>
      </c>
      <c r="G132" s="2">
        <f>E132*F132</f>
        <v>0</v>
      </c>
      <c r="H132" s="2">
        <v>561.6</v>
      </c>
      <c r="I132" s="2">
        <f>ROUND(H132-G132, 2)</f>
        <v>0</v>
      </c>
      <c r="J132">
        <f>IF(ABS(I132)&gt;0.01, "Priority 3", "None")</f>
        <v>0</v>
      </c>
    </row>
    <row r="133" spans="1:10">
      <c r="A133" t="s">
        <v>1202</v>
      </c>
      <c r="B133" t="s">
        <v>1071</v>
      </c>
      <c r="C133">
        <v>40</v>
      </c>
      <c r="D133">
        <v>49.8</v>
      </c>
      <c r="E133">
        <f>MAX(ROUNDUP(D133, 0), C133)</f>
        <v>0</v>
      </c>
      <c r="F133" s="2">
        <v>10.4</v>
      </c>
      <c r="G133" s="2">
        <f>E133*F133</f>
        <v>0</v>
      </c>
      <c r="H133" s="2">
        <v>520</v>
      </c>
      <c r="I133" s="2">
        <f>ROUND(H133-G133, 2)</f>
        <v>0</v>
      </c>
      <c r="J133">
        <f>IF(ABS(I133)&gt;0.01, "Priority 3", "None")</f>
        <v>0</v>
      </c>
    </row>
    <row r="134" spans="1:10">
      <c r="A134" t="s">
        <v>1203</v>
      </c>
      <c r="B134" t="s">
        <v>1071</v>
      </c>
      <c r="C134">
        <v>24</v>
      </c>
      <c r="D134">
        <v>43.4</v>
      </c>
      <c r="E134">
        <f>MAX(ROUNDUP(D134, 0), C134)</f>
        <v>0</v>
      </c>
      <c r="F134" s="2">
        <v>10.4</v>
      </c>
      <c r="G134" s="2">
        <f>E134*F134</f>
        <v>0</v>
      </c>
      <c r="H134" s="2">
        <v>457.6</v>
      </c>
      <c r="I134" s="2">
        <f>ROUND(H134-G134, 2)</f>
        <v>0</v>
      </c>
      <c r="J134">
        <f>IF(ABS(I134)&gt;0.01, "Priority 3", "None")</f>
        <v>0</v>
      </c>
    </row>
    <row r="135" spans="1:10">
      <c r="A135" t="s">
        <v>1204</v>
      </c>
      <c r="B135" t="s">
        <v>1071</v>
      </c>
      <c r="C135">
        <v>32</v>
      </c>
      <c r="D135">
        <v>51.4</v>
      </c>
      <c r="E135">
        <f>MAX(ROUNDUP(D135, 0), C135)</f>
        <v>0</v>
      </c>
      <c r="F135" s="2">
        <v>10.4</v>
      </c>
      <c r="G135" s="2">
        <f>E135*F135</f>
        <v>0</v>
      </c>
      <c r="H135" s="2">
        <v>540.8</v>
      </c>
      <c r="I135" s="2">
        <f>ROUND(H135-G135, 2)</f>
        <v>0</v>
      </c>
      <c r="J135">
        <f>IF(ABS(I135)&gt;0.01, "Priority 3", "None")</f>
        <v>0</v>
      </c>
    </row>
    <row r="136" spans="1:10">
      <c r="A136" t="s">
        <v>1205</v>
      </c>
      <c r="B136" t="s">
        <v>1071</v>
      </c>
      <c r="C136">
        <v>40</v>
      </c>
      <c r="D136">
        <v>58.9</v>
      </c>
      <c r="E136">
        <f>MAX(ROUNDUP(D136, 0), C136)</f>
        <v>0</v>
      </c>
      <c r="F136" s="2">
        <v>10.4</v>
      </c>
      <c r="G136" s="2">
        <f>E136*F136</f>
        <v>0</v>
      </c>
      <c r="H136" s="2">
        <v>613.6</v>
      </c>
      <c r="I136" s="2">
        <f>ROUND(H136-G136, 2)</f>
        <v>0</v>
      </c>
      <c r="J136">
        <f>IF(ABS(I136)&gt;0.01, "Priority 3", "None")</f>
        <v>0</v>
      </c>
    </row>
    <row r="137" spans="1:10">
      <c r="A137" t="s">
        <v>1206</v>
      </c>
      <c r="B137" t="s">
        <v>1071</v>
      </c>
      <c r="C137">
        <v>28</v>
      </c>
      <c r="D137">
        <v>52.4</v>
      </c>
      <c r="E137">
        <f>MAX(ROUNDUP(D137, 0), C137)</f>
        <v>0</v>
      </c>
      <c r="F137" s="2">
        <v>10.4</v>
      </c>
      <c r="G137" s="2">
        <f>E137*F137</f>
        <v>0</v>
      </c>
      <c r="H137" s="2">
        <v>551.2</v>
      </c>
      <c r="I137" s="2">
        <f>ROUND(H137-G137, 2)</f>
        <v>0</v>
      </c>
      <c r="J137">
        <f>IF(ABS(I137)&gt;0.01, "Priority 3", "None")</f>
        <v>0</v>
      </c>
    </row>
    <row r="138" spans="1:10">
      <c r="A138" t="s">
        <v>1207</v>
      </c>
      <c r="B138" t="s">
        <v>1071</v>
      </c>
      <c r="C138">
        <v>24</v>
      </c>
      <c r="D138">
        <v>43.6</v>
      </c>
      <c r="E138">
        <f>MAX(ROUNDUP(D138, 0), C138)</f>
        <v>0</v>
      </c>
      <c r="F138" s="2">
        <v>10.4</v>
      </c>
      <c r="G138" s="2">
        <f>E138*F138</f>
        <v>0</v>
      </c>
      <c r="H138" s="2">
        <v>457.6</v>
      </c>
      <c r="I138" s="2">
        <f>ROUND(H138-G138, 2)</f>
        <v>0</v>
      </c>
      <c r="J138">
        <f>IF(ABS(I138)&gt;0.01, "Priority 3", "None")</f>
        <v>0</v>
      </c>
    </row>
    <row r="139" spans="1:10">
      <c r="A139" t="s">
        <v>1208</v>
      </c>
      <c r="B139" t="s">
        <v>1071</v>
      </c>
      <c r="C139">
        <v>28</v>
      </c>
      <c r="D139">
        <v>43.6</v>
      </c>
      <c r="E139">
        <f>MAX(ROUNDUP(D139, 0), C139)</f>
        <v>0</v>
      </c>
      <c r="F139" s="2">
        <v>10.4</v>
      </c>
      <c r="G139" s="2">
        <f>E139*F139</f>
        <v>0</v>
      </c>
      <c r="H139" s="2">
        <v>457.6</v>
      </c>
      <c r="I139" s="2">
        <f>ROUND(H139-G139, 2)</f>
        <v>0</v>
      </c>
      <c r="J139">
        <f>IF(ABS(I139)&gt;0.01, "Priority 3", "None")</f>
        <v>0</v>
      </c>
    </row>
    <row r="140" spans="1:10">
      <c r="A140" t="s">
        <v>1209</v>
      </c>
      <c r="B140" t="s">
        <v>1071</v>
      </c>
      <c r="C140">
        <v>28</v>
      </c>
      <c r="D140">
        <v>45.6</v>
      </c>
      <c r="E140">
        <f>MAX(ROUNDUP(D140, 0), C140)</f>
        <v>0</v>
      </c>
      <c r="F140" s="2">
        <v>10.4</v>
      </c>
      <c r="G140" s="2">
        <f>E140*F140</f>
        <v>0</v>
      </c>
      <c r="H140" s="2">
        <v>478.4</v>
      </c>
      <c r="I140" s="2">
        <f>ROUND(H140-G140, 2)</f>
        <v>0</v>
      </c>
      <c r="J140">
        <f>IF(ABS(I140)&gt;0.01, "Priority 3", "None")</f>
        <v>0</v>
      </c>
    </row>
    <row r="141" spans="1:10">
      <c r="A141" t="s">
        <v>1210</v>
      </c>
      <c r="B141" t="s">
        <v>1071</v>
      </c>
      <c r="C141">
        <v>32</v>
      </c>
      <c r="D141">
        <v>43.3</v>
      </c>
      <c r="E141">
        <f>MAX(ROUNDUP(D141, 0), C141)</f>
        <v>0</v>
      </c>
      <c r="F141" s="2">
        <v>10.4</v>
      </c>
      <c r="G141" s="2">
        <f>E141*F141</f>
        <v>0</v>
      </c>
      <c r="H141" s="2">
        <v>457.6</v>
      </c>
      <c r="I141" s="2">
        <f>ROUND(H141-G141, 2)</f>
        <v>0</v>
      </c>
      <c r="J141">
        <f>IF(ABS(I141)&gt;0.01, "Priority 3", "None")</f>
        <v>0</v>
      </c>
    </row>
    <row r="142" spans="1:10">
      <c r="A142" t="s">
        <v>1211</v>
      </c>
      <c r="B142" t="s">
        <v>1071</v>
      </c>
      <c r="C142">
        <v>28</v>
      </c>
      <c r="D142">
        <v>45.7</v>
      </c>
      <c r="E142">
        <f>MAX(ROUNDUP(D142, 0), C142)</f>
        <v>0</v>
      </c>
      <c r="F142" s="2">
        <v>10.4</v>
      </c>
      <c r="G142" s="2">
        <f>E142*F142</f>
        <v>0</v>
      </c>
      <c r="H142" s="2">
        <v>478.4</v>
      </c>
      <c r="I142" s="2">
        <f>ROUND(H142-G142, 2)</f>
        <v>0</v>
      </c>
      <c r="J142">
        <f>IF(ABS(I142)&gt;0.01, "Priority 3", "None")</f>
        <v>0</v>
      </c>
    </row>
    <row r="143" spans="1:10">
      <c r="A143" t="s">
        <v>1212</v>
      </c>
      <c r="B143" t="s">
        <v>1071</v>
      </c>
      <c r="C143">
        <v>28</v>
      </c>
      <c r="D143">
        <v>33.7</v>
      </c>
      <c r="E143">
        <f>MAX(ROUNDUP(D143, 0), C143)</f>
        <v>0</v>
      </c>
      <c r="F143" s="2">
        <v>10.4</v>
      </c>
      <c r="G143" s="2">
        <f>E143*F143</f>
        <v>0</v>
      </c>
      <c r="H143" s="2">
        <v>353.6</v>
      </c>
      <c r="I143" s="2">
        <f>ROUND(H143-G143, 2)</f>
        <v>0</v>
      </c>
      <c r="J143">
        <f>IF(ABS(I143)&gt;0.01, "Priority 3", "None")</f>
        <v>0</v>
      </c>
    </row>
    <row r="144" spans="1:10">
      <c r="A144" t="s">
        <v>1213</v>
      </c>
      <c r="B144" t="s">
        <v>1071</v>
      </c>
      <c r="C144">
        <v>36</v>
      </c>
      <c r="D144">
        <v>43.4</v>
      </c>
      <c r="E144">
        <f>MAX(ROUNDUP(D144, 0), C144)</f>
        <v>0</v>
      </c>
      <c r="F144" s="2">
        <v>10.4</v>
      </c>
      <c r="G144" s="2">
        <f>E144*F144</f>
        <v>0</v>
      </c>
      <c r="H144" s="2">
        <v>457.6</v>
      </c>
      <c r="I144" s="2">
        <f>ROUND(H144-G144, 2)</f>
        <v>0</v>
      </c>
      <c r="J144">
        <f>IF(ABS(I144)&gt;0.01, "Priority 3", "None")</f>
        <v>0</v>
      </c>
    </row>
    <row r="145" spans="1:10">
      <c r="A145" t="s">
        <v>1214</v>
      </c>
      <c r="B145" t="s">
        <v>1071</v>
      </c>
      <c r="C145">
        <v>36</v>
      </c>
      <c r="D145">
        <v>36.1</v>
      </c>
      <c r="E145">
        <f>MAX(ROUNDUP(D145, 0), C145)</f>
        <v>0</v>
      </c>
      <c r="F145" s="2">
        <v>10.4</v>
      </c>
      <c r="G145" s="2">
        <f>E145*F145</f>
        <v>0</v>
      </c>
      <c r="H145" s="2">
        <v>384.8</v>
      </c>
      <c r="I145" s="2">
        <f>ROUND(H145-G145, 2)</f>
        <v>0</v>
      </c>
      <c r="J145">
        <f>IF(ABS(I145)&gt;0.01, "Priority 3", "None")</f>
        <v>0</v>
      </c>
    </row>
    <row r="146" spans="1:10">
      <c r="A146" t="s">
        <v>1215</v>
      </c>
      <c r="B146" t="s">
        <v>1071</v>
      </c>
      <c r="C146">
        <v>40</v>
      </c>
      <c r="D146">
        <v>39.1</v>
      </c>
      <c r="E146">
        <f>MAX(ROUNDUP(D146, 0), C146)</f>
        <v>0</v>
      </c>
      <c r="F146" s="2">
        <v>10.4</v>
      </c>
      <c r="G146" s="2">
        <f>E146*F146</f>
        <v>0</v>
      </c>
      <c r="H146" s="2">
        <v>416</v>
      </c>
      <c r="I146" s="2">
        <f>ROUND(H146-G146, 2)</f>
        <v>0</v>
      </c>
      <c r="J146">
        <f>IF(ABS(I146)&gt;0.01, "Priority 3", "None")</f>
        <v>0</v>
      </c>
    </row>
    <row r="147" spans="1:10">
      <c r="A147" t="s">
        <v>1216</v>
      </c>
      <c r="B147" t="s">
        <v>1071</v>
      </c>
      <c r="C147">
        <v>24</v>
      </c>
      <c r="D147">
        <v>31.9</v>
      </c>
      <c r="E147">
        <f>MAX(ROUNDUP(D147, 0), C147)</f>
        <v>0</v>
      </c>
      <c r="F147" s="2">
        <v>10.4</v>
      </c>
      <c r="G147" s="2">
        <f>E147*F147</f>
        <v>0</v>
      </c>
      <c r="H147" s="2">
        <v>332.8</v>
      </c>
      <c r="I147" s="2">
        <f>ROUND(H147-G147, 2)</f>
        <v>0</v>
      </c>
      <c r="J147">
        <f>IF(ABS(I147)&gt;0.01, "Priority 3", "None")</f>
        <v>0</v>
      </c>
    </row>
    <row r="148" spans="1:10">
      <c r="A148" t="s">
        <v>1217</v>
      </c>
      <c r="B148" t="s">
        <v>1071</v>
      </c>
      <c r="C148">
        <v>32</v>
      </c>
      <c r="D148">
        <v>55.9</v>
      </c>
      <c r="E148">
        <f>MAX(ROUNDUP(D148, 0), C148)</f>
        <v>0</v>
      </c>
      <c r="F148" s="2">
        <v>10.4</v>
      </c>
      <c r="G148" s="2">
        <f>E148*F148</f>
        <v>0</v>
      </c>
      <c r="H148" s="2">
        <v>582.4</v>
      </c>
      <c r="I148" s="2">
        <f>ROUND(H148-G148, 2)</f>
        <v>0</v>
      </c>
      <c r="J148">
        <f>IF(ABS(I148)&gt;0.01, "Priority 3", "None")</f>
        <v>0</v>
      </c>
    </row>
    <row r="149" spans="1:10">
      <c r="A149" t="s">
        <v>1218</v>
      </c>
      <c r="B149" t="s">
        <v>1071</v>
      </c>
      <c r="C149">
        <v>24</v>
      </c>
      <c r="D149">
        <v>40.5</v>
      </c>
      <c r="E149">
        <f>MAX(ROUNDUP(D149, 0), C149)</f>
        <v>0</v>
      </c>
      <c r="F149" s="2">
        <v>10.4</v>
      </c>
      <c r="G149" s="2">
        <f>E149*F149</f>
        <v>0</v>
      </c>
      <c r="H149" s="2">
        <v>426.4</v>
      </c>
      <c r="I149" s="2">
        <f>ROUND(H149-G149, 2)</f>
        <v>0</v>
      </c>
      <c r="J149">
        <f>IF(ABS(I149)&gt;0.01, "Priority 3", "None")</f>
        <v>0</v>
      </c>
    </row>
    <row r="150" spans="1:10">
      <c r="A150" t="s">
        <v>1219</v>
      </c>
      <c r="B150" t="s">
        <v>1071</v>
      </c>
      <c r="C150">
        <v>24</v>
      </c>
      <c r="D150">
        <v>55.2</v>
      </c>
      <c r="E150">
        <f>MAX(ROUNDUP(D150, 0), C150)</f>
        <v>0</v>
      </c>
      <c r="F150" s="2">
        <v>10.4</v>
      </c>
      <c r="G150" s="2">
        <f>E150*F150</f>
        <v>0</v>
      </c>
      <c r="H150" s="2">
        <v>582.4</v>
      </c>
      <c r="I150" s="2">
        <f>ROUND(H150-G150, 2)</f>
        <v>0</v>
      </c>
      <c r="J150">
        <f>IF(ABS(I150)&gt;0.01, "Priority 3", "None")</f>
        <v>0</v>
      </c>
    </row>
    <row r="151" spans="1:10">
      <c r="A151" t="s">
        <v>1220</v>
      </c>
      <c r="B151" t="s">
        <v>1071</v>
      </c>
      <c r="C151">
        <v>32</v>
      </c>
      <c r="D151">
        <v>25.4</v>
      </c>
      <c r="E151">
        <f>MAX(ROUNDUP(D151, 0), C151)</f>
        <v>0</v>
      </c>
      <c r="F151" s="2">
        <v>10.4</v>
      </c>
      <c r="G151" s="2">
        <f>E151*F151</f>
        <v>0</v>
      </c>
      <c r="H151" s="2">
        <v>332.8</v>
      </c>
      <c r="I151" s="2">
        <f>ROUND(H151-G151, 2)</f>
        <v>0</v>
      </c>
      <c r="J151">
        <f>IF(ABS(I151)&gt;0.01, "Priority 3", "None")</f>
        <v>0</v>
      </c>
    </row>
    <row r="152" spans="1:10">
      <c r="A152" t="s">
        <v>1221</v>
      </c>
      <c r="B152" t="s">
        <v>1071</v>
      </c>
      <c r="C152">
        <v>32</v>
      </c>
      <c r="D152">
        <v>32.7</v>
      </c>
      <c r="E152">
        <f>MAX(ROUNDUP(D152, 0), C152)</f>
        <v>0</v>
      </c>
      <c r="F152" s="2">
        <v>10.4</v>
      </c>
      <c r="G152" s="2">
        <f>E152*F152</f>
        <v>0</v>
      </c>
      <c r="H152" s="2">
        <v>343.2</v>
      </c>
      <c r="I152" s="2">
        <f>ROUND(H152-G152, 2)</f>
        <v>0</v>
      </c>
      <c r="J152">
        <f>IF(ABS(I152)&gt;0.01, "Priority 3", "None")</f>
        <v>0</v>
      </c>
    </row>
    <row r="153" spans="1:10">
      <c r="A153" t="s">
        <v>1222</v>
      </c>
      <c r="B153" t="s">
        <v>1071</v>
      </c>
      <c r="C153">
        <v>32</v>
      </c>
      <c r="D153">
        <v>53.5</v>
      </c>
      <c r="E153">
        <f>MAX(ROUNDUP(D153, 0), C153)</f>
        <v>0</v>
      </c>
      <c r="F153" s="2">
        <v>10.4</v>
      </c>
      <c r="G153" s="2">
        <f>E153*F153</f>
        <v>0</v>
      </c>
      <c r="H153" s="2">
        <v>561.6</v>
      </c>
      <c r="I153" s="2">
        <f>ROUND(H153-G153, 2)</f>
        <v>0</v>
      </c>
      <c r="J153">
        <f>IF(ABS(I153)&gt;0.01, "Priority 3", "None")</f>
        <v>0</v>
      </c>
    </row>
    <row r="154" spans="1:10">
      <c r="A154" t="s">
        <v>1223</v>
      </c>
      <c r="B154" t="s">
        <v>1071</v>
      </c>
      <c r="C154">
        <v>24</v>
      </c>
      <c r="D154">
        <v>59.7</v>
      </c>
      <c r="E154">
        <f>MAX(ROUNDUP(D154, 0), C154)</f>
        <v>0</v>
      </c>
      <c r="F154" s="2">
        <v>10.4</v>
      </c>
      <c r="G154" s="2">
        <f>E154*F154</f>
        <v>0</v>
      </c>
      <c r="H154" s="2">
        <v>624</v>
      </c>
      <c r="I154" s="2">
        <f>ROUND(H154-G154, 2)</f>
        <v>0</v>
      </c>
      <c r="J154">
        <f>IF(ABS(I154)&gt;0.01, "Priority 3", "None")</f>
        <v>0</v>
      </c>
    </row>
    <row r="155" spans="1:10">
      <c r="A155" t="s">
        <v>1224</v>
      </c>
      <c r="B155" t="s">
        <v>1071</v>
      </c>
      <c r="C155">
        <v>28</v>
      </c>
      <c r="D155">
        <v>37.7</v>
      </c>
      <c r="E155">
        <f>MAX(ROUNDUP(D155, 0), C155)</f>
        <v>0</v>
      </c>
      <c r="F155" s="2">
        <v>10.4</v>
      </c>
      <c r="G155" s="2">
        <f>E155*F155</f>
        <v>0</v>
      </c>
      <c r="H155" s="2">
        <v>395.2</v>
      </c>
      <c r="I155" s="2">
        <f>ROUND(H155-G155, 2)</f>
        <v>0</v>
      </c>
      <c r="J155">
        <f>IF(ABS(I155)&gt;0.01, "Priority 3", "None")</f>
        <v>0</v>
      </c>
    </row>
    <row r="156" spans="1:10">
      <c r="A156" t="s">
        <v>1225</v>
      </c>
      <c r="B156" t="s">
        <v>1071</v>
      </c>
      <c r="C156">
        <v>28</v>
      </c>
      <c r="D156">
        <v>56.3</v>
      </c>
      <c r="E156">
        <f>MAX(ROUNDUP(D156, 0), C156)</f>
        <v>0</v>
      </c>
      <c r="F156" s="2">
        <v>10.4</v>
      </c>
      <c r="G156" s="2">
        <f>E156*F156</f>
        <v>0</v>
      </c>
      <c r="H156" s="2">
        <v>592.8</v>
      </c>
      <c r="I156" s="2">
        <f>ROUND(H156-G156, 2)</f>
        <v>0</v>
      </c>
      <c r="J156">
        <f>IF(ABS(I156)&gt;0.01, "Priority 3", "None")</f>
        <v>0</v>
      </c>
    </row>
    <row r="157" spans="1:10">
      <c r="A157" t="s">
        <v>1226</v>
      </c>
      <c r="B157" t="s">
        <v>1071</v>
      </c>
      <c r="C157">
        <v>36</v>
      </c>
      <c r="D157">
        <v>46.1</v>
      </c>
      <c r="E157">
        <f>MAX(ROUNDUP(D157, 0), C157)</f>
        <v>0</v>
      </c>
      <c r="F157" s="2">
        <v>10.4</v>
      </c>
      <c r="G157" s="2">
        <f>E157*F157</f>
        <v>0</v>
      </c>
      <c r="H157" s="2">
        <v>488.8</v>
      </c>
      <c r="I157" s="2">
        <f>ROUND(H157-G157, 2)</f>
        <v>0</v>
      </c>
      <c r="J157">
        <f>IF(ABS(I157)&gt;0.01, "Priority 3", "None")</f>
        <v>0</v>
      </c>
    </row>
    <row r="158" spans="1:10">
      <c r="A158" t="s">
        <v>1227</v>
      </c>
      <c r="B158" t="s">
        <v>1071</v>
      </c>
      <c r="C158">
        <v>40</v>
      </c>
      <c r="D158">
        <v>35.1</v>
      </c>
      <c r="E158">
        <f>MAX(ROUNDUP(D158, 0), C158)</f>
        <v>0</v>
      </c>
      <c r="F158" s="2">
        <v>10.4</v>
      </c>
      <c r="G158" s="2">
        <f>E158*F158</f>
        <v>0</v>
      </c>
      <c r="H158" s="2">
        <v>416</v>
      </c>
      <c r="I158" s="2">
        <f>ROUND(H158-G158, 2)</f>
        <v>0</v>
      </c>
      <c r="J158">
        <f>IF(ABS(I158)&gt;0.01, "Priority 3", "None")</f>
        <v>0</v>
      </c>
    </row>
    <row r="159" spans="1:10">
      <c r="A159" t="s">
        <v>1228</v>
      </c>
      <c r="B159" t="s">
        <v>1071</v>
      </c>
      <c r="C159">
        <v>28</v>
      </c>
      <c r="D159">
        <v>47.8</v>
      </c>
      <c r="E159">
        <f>MAX(ROUNDUP(D159, 0), C159)</f>
        <v>0</v>
      </c>
      <c r="F159" s="2">
        <v>10.4</v>
      </c>
      <c r="G159" s="2">
        <f>E159*F159</f>
        <v>0</v>
      </c>
      <c r="H159" s="2">
        <v>499.2</v>
      </c>
      <c r="I159" s="2">
        <f>ROUND(H159-G159, 2)</f>
        <v>0</v>
      </c>
      <c r="J159">
        <f>IF(ABS(I159)&gt;0.01, "Priority 3", "None")</f>
        <v>0</v>
      </c>
    </row>
    <row r="160" spans="1:10">
      <c r="A160" t="s">
        <v>1229</v>
      </c>
      <c r="B160" t="s">
        <v>1071</v>
      </c>
      <c r="C160">
        <v>36</v>
      </c>
      <c r="D160">
        <v>39.6</v>
      </c>
      <c r="E160">
        <f>MAX(ROUNDUP(D160, 0), C160)</f>
        <v>0</v>
      </c>
      <c r="F160" s="2">
        <v>10.4</v>
      </c>
      <c r="G160" s="2">
        <f>E160*F160</f>
        <v>0</v>
      </c>
      <c r="H160" s="2">
        <v>416</v>
      </c>
      <c r="I160" s="2">
        <f>ROUND(H160-G160, 2)</f>
        <v>0</v>
      </c>
      <c r="J160">
        <f>IF(ABS(I160)&gt;0.01, "Priority 3", "None")</f>
        <v>0</v>
      </c>
    </row>
    <row r="161" spans="1:10">
      <c r="A161" t="s">
        <v>1230</v>
      </c>
      <c r="B161" t="s">
        <v>1071</v>
      </c>
      <c r="C161">
        <v>36</v>
      </c>
      <c r="D161">
        <v>55.1</v>
      </c>
      <c r="E161">
        <f>MAX(ROUNDUP(D161, 0), C161)</f>
        <v>0</v>
      </c>
      <c r="F161" s="2">
        <v>10.4</v>
      </c>
      <c r="G161" s="2">
        <f>E161*F161</f>
        <v>0</v>
      </c>
      <c r="H161" s="2">
        <v>582.4</v>
      </c>
      <c r="I161" s="2">
        <f>ROUND(H161-G161, 2)</f>
        <v>0</v>
      </c>
      <c r="J161">
        <f>IF(ABS(I161)&gt;0.01, "Priority 3", "None")</f>
        <v>0</v>
      </c>
    </row>
    <row r="162" spans="1:10">
      <c r="A162" t="s">
        <v>1231</v>
      </c>
      <c r="B162" t="s">
        <v>1071</v>
      </c>
      <c r="C162">
        <v>24</v>
      </c>
      <c r="D162">
        <v>40.6</v>
      </c>
      <c r="E162">
        <f>MAX(ROUNDUP(D162, 0), C162)</f>
        <v>0</v>
      </c>
      <c r="F162" s="2">
        <v>10.4</v>
      </c>
      <c r="G162" s="2">
        <f>E162*F162</f>
        <v>0</v>
      </c>
      <c r="H162" s="2">
        <v>426.4</v>
      </c>
      <c r="I162" s="2">
        <f>ROUND(H162-G162, 2)</f>
        <v>0</v>
      </c>
      <c r="J162">
        <f>IF(ABS(I162)&gt;0.01, "Priority 3", "None")</f>
        <v>0</v>
      </c>
    </row>
    <row r="163" spans="1:10">
      <c r="A163" t="s">
        <v>1232</v>
      </c>
      <c r="B163" t="s">
        <v>1071</v>
      </c>
      <c r="C163">
        <v>40</v>
      </c>
      <c r="D163">
        <v>42.3</v>
      </c>
      <c r="E163">
        <f>MAX(ROUNDUP(D163, 0), C163)</f>
        <v>0</v>
      </c>
      <c r="F163" s="2">
        <v>10.4</v>
      </c>
      <c r="G163" s="2">
        <f>E163*F163</f>
        <v>0</v>
      </c>
      <c r="H163" s="2">
        <v>447.2</v>
      </c>
      <c r="I163" s="2">
        <f>ROUND(H163-G163, 2)</f>
        <v>0</v>
      </c>
      <c r="J163">
        <f>IF(ABS(I163)&gt;0.01, "Priority 3", "None")</f>
        <v>0</v>
      </c>
    </row>
    <row r="164" spans="1:10">
      <c r="A164" t="s">
        <v>1233</v>
      </c>
      <c r="B164" t="s">
        <v>1071</v>
      </c>
      <c r="C164">
        <v>28</v>
      </c>
      <c r="D164">
        <v>34.3</v>
      </c>
      <c r="E164">
        <f>MAX(ROUNDUP(D164, 0), C164)</f>
        <v>0</v>
      </c>
      <c r="F164" s="2">
        <v>10.4</v>
      </c>
      <c r="G164" s="2">
        <f>E164*F164</f>
        <v>0</v>
      </c>
      <c r="H164" s="2">
        <v>364</v>
      </c>
      <c r="I164" s="2">
        <f>ROUND(H164-G164, 2)</f>
        <v>0</v>
      </c>
      <c r="J164">
        <f>IF(ABS(I164)&gt;0.01, "Priority 3", "None")</f>
        <v>0</v>
      </c>
    </row>
    <row r="165" spans="1:10">
      <c r="A165" t="s">
        <v>1234</v>
      </c>
      <c r="B165" t="s">
        <v>1071</v>
      </c>
      <c r="C165">
        <v>36</v>
      </c>
      <c r="D165">
        <v>51.3</v>
      </c>
      <c r="E165">
        <f>MAX(ROUNDUP(D165, 0), C165)</f>
        <v>0</v>
      </c>
      <c r="F165" s="2">
        <v>10.4</v>
      </c>
      <c r="G165" s="2">
        <f>E165*F165</f>
        <v>0</v>
      </c>
      <c r="H165" s="2">
        <v>540.8</v>
      </c>
      <c r="I165" s="2">
        <f>ROUND(H165-G165, 2)</f>
        <v>0</v>
      </c>
      <c r="J165">
        <f>IF(ABS(I165)&gt;0.01, "Priority 3", "None")</f>
        <v>0</v>
      </c>
    </row>
    <row r="166" spans="1:10">
      <c r="A166" t="s">
        <v>1235</v>
      </c>
      <c r="B166" t="s">
        <v>1071</v>
      </c>
      <c r="C166">
        <v>28</v>
      </c>
      <c r="D166">
        <v>25.6</v>
      </c>
      <c r="E166">
        <f>MAX(ROUNDUP(D166, 0), C166)</f>
        <v>0</v>
      </c>
      <c r="F166" s="2">
        <v>10.4</v>
      </c>
      <c r="G166" s="2">
        <f>E166*F166</f>
        <v>0</v>
      </c>
      <c r="H166" s="2">
        <v>291.2</v>
      </c>
      <c r="I166" s="2">
        <f>ROUND(H166-G166, 2)</f>
        <v>0</v>
      </c>
      <c r="J166">
        <f>IF(ABS(I166)&gt;0.01, "Priority 3", "None")</f>
        <v>0</v>
      </c>
    </row>
    <row r="167" spans="1:10">
      <c r="A167" t="s">
        <v>1236</v>
      </c>
      <c r="B167" t="s">
        <v>1071</v>
      </c>
      <c r="C167">
        <v>32</v>
      </c>
      <c r="D167">
        <v>37.5</v>
      </c>
      <c r="E167">
        <f>MAX(ROUNDUP(D167, 0), C167)</f>
        <v>0</v>
      </c>
      <c r="F167" s="2">
        <v>10.4</v>
      </c>
      <c r="G167" s="2">
        <f>E167*F167</f>
        <v>0</v>
      </c>
      <c r="H167" s="2">
        <v>395.2</v>
      </c>
      <c r="I167" s="2">
        <f>ROUND(H167-G167, 2)</f>
        <v>0</v>
      </c>
      <c r="J167">
        <f>IF(ABS(I167)&gt;0.01, "Priority 3", "None")</f>
        <v>0</v>
      </c>
    </row>
    <row r="168" spans="1:10">
      <c r="A168" t="s">
        <v>1237</v>
      </c>
      <c r="B168" t="s">
        <v>1071</v>
      </c>
      <c r="C168">
        <v>32</v>
      </c>
      <c r="D168">
        <v>34.5</v>
      </c>
      <c r="E168">
        <f>MAX(ROUNDUP(D168, 0), C168)</f>
        <v>0</v>
      </c>
      <c r="F168" s="2">
        <v>10.4</v>
      </c>
      <c r="G168" s="2">
        <f>E168*F168</f>
        <v>0</v>
      </c>
      <c r="H168" s="2">
        <v>364</v>
      </c>
      <c r="I168" s="2">
        <f>ROUND(H168-G168, 2)</f>
        <v>0</v>
      </c>
      <c r="J168">
        <f>IF(ABS(I168)&gt;0.01, "Priority 3", "None")</f>
        <v>0</v>
      </c>
    </row>
    <row r="169" spans="1:10">
      <c r="A169" t="s">
        <v>1238</v>
      </c>
      <c r="B169" t="s">
        <v>1071</v>
      </c>
      <c r="C169">
        <v>24</v>
      </c>
      <c r="D169">
        <v>49.8</v>
      </c>
      <c r="E169">
        <f>MAX(ROUNDUP(D169, 0), C169)</f>
        <v>0</v>
      </c>
      <c r="F169" s="2">
        <v>10.4</v>
      </c>
      <c r="G169" s="2">
        <f>E169*F169</f>
        <v>0</v>
      </c>
      <c r="H169" s="2">
        <v>520</v>
      </c>
      <c r="I169" s="2">
        <f>ROUND(H169-G169, 2)</f>
        <v>0</v>
      </c>
      <c r="J169">
        <f>IF(ABS(I169)&gt;0.01, "Priority 3", "None")</f>
        <v>0</v>
      </c>
    </row>
    <row r="170" spans="1:10">
      <c r="A170" t="s">
        <v>1239</v>
      </c>
      <c r="B170" t="s">
        <v>1071</v>
      </c>
      <c r="C170">
        <v>28</v>
      </c>
      <c r="D170">
        <v>47.4</v>
      </c>
      <c r="E170">
        <f>MAX(ROUNDUP(D170, 0), C170)</f>
        <v>0</v>
      </c>
      <c r="F170" s="2">
        <v>10.4</v>
      </c>
      <c r="G170" s="2">
        <f>E170*F170</f>
        <v>0</v>
      </c>
      <c r="H170" s="2">
        <v>499.2</v>
      </c>
      <c r="I170" s="2">
        <f>ROUND(H170-G170, 2)</f>
        <v>0</v>
      </c>
      <c r="J170">
        <f>IF(ABS(I170)&gt;0.01, "Priority 3", "None")</f>
        <v>0</v>
      </c>
    </row>
    <row r="171" spans="1:10">
      <c r="A171" t="s">
        <v>1240</v>
      </c>
      <c r="B171" t="s">
        <v>1071</v>
      </c>
      <c r="C171">
        <v>32</v>
      </c>
      <c r="D171">
        <v>22.2</v>
      </c>
      <c r="E171">
        <f>MAX(ROUNDUP(D171, 0), C171)</f>
        <v>0</v>
      </c>
      <c r="F171" s="2">
        <v>10.4</v>
      </c>
      <c r="G171" s="2">
        <f>E171*F171</f>
        <v>0</v>
      </c>
      <c r="H171" s="2">
        <v>332.8</v>
      </c>
      <c r="I171" s="2">
        <f>ROUND(H171-G171, 2)</f>
        <v>0</v>
      </c>
      <c r="J171">
        <f>IF(ABS(I171)&gt;0.01, "Priority 3", "None")</f>
        <v>0</v>
      </c>
    </row>
    <row r="172" spans="1:10">
      <c r="A172" t="s">
        <v>1241</v>
      </c>
      <c r="B172" t="s">
        <v>1071</v>
      </c>
      <c r="C172">
        <v>28</v>
      </c>
      <c r="D172">
        <v>60.9</v>
      </c>
      <c r="E172">
        <f>MAX(ROUNDUP(D172, 0), C172)</f>
        <v>0</v>
      </c>
      <c r="F172" s="2">
        <v>10.4</v>
      </c>
      <c r="G172" s="2">
        <f>E172*F172</f>
        <v>0</v>
      </c>
      <c r="H172" s="2">
        <v>634.4</v>
      </c>
      <c r="I172" s="2">
        <f>ROUND(H172-G172, 2)</f>
        <v>0</v>
      </c>
      <c r="J172">
        <f>IF(ABS(I172)&gt;0.01, "Priority 3", "None")</f>
        <v>0</v>
      </c>
    </row>
    <row r="173" spans="1:10">
      <c r="A173" t="s">
        <v>1242</v>
      </c>
      <c r="B173" t="s">
        <v>1071</v>
      </c>
      <c r="C173">
        <v>32</v>
      </c>
      <c r="D173">
        <v>19.1</v>
      </c>
      <c r="E173">
        <f>MAX(ROUNDUP(D173, 0), C173)</f>
        <v>0</v>
      </c>
      <c r="F173" s="2">
        <v>10.4</v>
      </c>
      <c r="G173" s="2">
        <f>E173*F173</f>
        <v>0</v>
      </c>
      <c r="H173" s="2">
        <v>332.8</v>
      </c>
      <c r="I173" s="2">
        <f>ROUND(H173-G173, 2)</f>
        <v>0</v>
      </c>
      <c r="J173">
        <f>IF(ABS(I173)&gt;0.01, "Priority 3", "None")</f>
        <v>0</v>
      </c>
    </row>
    <row r="174" spans="1:10">
      <c r="A174" t="s">
        <v>1243</v>
      </c>
      <c r="B174" t="s">
        <v>1071</v>
      </c>
      <c r="C174">
        <v>32</v>
      </c>
      <c r="D174">
        <v>43.9</v>
      </c>
      <c r="E174">
        <f>MAX(ROUNDUP(D174, 0), C174)</f>
        <v>0</v>
      </c>
      <c r="F174" s="2">
        <v>10.4</v>
      </c>
      <c r="G174" s="2">
        <f>E174*F174</f>
        <v>0</v>
      </c>
      <c r="H174" s="2">
        <v>457.6</v>
      </c>
      <c r="I174" s="2">
        <f>ROUND(H174-G174, 2)</f>
        <v>0</v>
      </c>
      <c r="J174">
        <f>IF(ABS(I174)&gt;0.01, "Priority 3", "None")</f>
        <v>0</v>
      </c>
    </row>
    <row r="175" spans="1:10">
      <c r="A175" t="s">
        <v>1244</v>
      </c>
      <c r="B175" t="s">
        <v>1071</v>
      </c>
      <c r="C175">
        <v>28</v>
      </c>
      <c r="D175">
        <v>53.2</v>
      </c>
      <c r="E175">
        <f>MAX(ROUNDUP(D175, 0), C175)</f>
        <v>0</v>
      </c>
      <c r="F175" s="2">
        <v>10.4</v>
      </c>
      <c r="G175" s="2">
        <f>E175*F175</f>
        <v>0</v>
      </c>
      <c r="H175" s="2">
        <v>561.6</v>
      </c>
      <c r="I175" s="2">
        <f>ROUND(H175-G175, 2)</f>
        <v>0</v>
      </c>
      <c r="J175">
        <f>IF(ABS(I175)&gt;0.01, "Priority 3", "None")</f>
        <v>0</v>
      </c>
    </row>
    <row r="176" spans="1:10">
      <c r="A176" t="s">
        <v>1245</v>
      </c>
      <c r="B176" t="s">
        <v>1071</v>
      </c>
      <c r="C176">
        <v>36</v>
      </c>
      <c r="D176">
        <v>60.7</v>
      </c>
      <c r="E176">
        <f>MAX(ROUNDUP(D176, 0), C176)</f>
        <v>0</v>
      </c>
      <c r="F176" s="2">
        <v>10.4</v>
      </c>
      <c r="G176" s="2">
        <f>E176*F176</f>
        <v>0</v>
      </c>
      <c r="H176" s="2">
        <v>634.4</v>
      </c>
      <c r="I176" s="2">
        <f>ROUND(H176-G176, 2)</f>
        <v>0</v>
      </c>
      <c r="J176">
        <f>IF(ABS(I176)&gt;0.01, "Priority 3", "None")</f>
        <v>0</v>
      </c>
    </row>
    <row r="177" spans="1:10">
      <c r="A177" t="s">
        <v>1246</v>
      </c>
      <c r="B177" t="s">
        <v>1071</v>
      </c>
      <c r="C177">
        <v>24</v>
      </c>
      <c r="D177">
        <v>42.5</v>
      </c>
      <c r="E177">
        <f>MAX(ROUNDUP(D177, 0), C177)</f>
        <v>0</v>
      </c>
      <c r="F177" s="2">
        <v>10.4</v>
      </c>
      <c r="G177" s="2">
        <f>E177*F177</f>
        <v>0</v>
      </c>
      <c r="H177" s="2">
        <v>447.2</v>
      </c>
      <c r="I177" s="2">
        <f>ROUND(H177-G177, 2)</f>
        <v>0</v>
      </c>
      <c r="J177">
        <f>IF(ABS(I177)&gt;0.01, "Priority 3", "None")</f>
        <v>0</v>
      </c>
    </row>
    <row r="178" spans="1:10">
      <c r="A178" t="s">
        <v>1247</v>
      </c>
      <c r="B178" t="s">
        <v>1071</v>
      </c>
      <c r="C178">
        <v>40</v>
      </c>
      <c r="D178">
        <v>48.1</v>
      </c>
      <c r="E178">
        <f>MAX(ROUNDUP(D178, 0), C178)</f>
        <v>0</v>
      </c>
      <c r="F178" s="2">
        <v>10.4</v>
      </c>
      <c r="G178" s="2">
        <f>E178*F178</f>
        <v>0</v>
      </c>
      <c r="H178" s="2">
        <v>509.6</v>
      </c>
      <c r="I178" s="2">
        <f>ROUND(H178-G178, 2)</f>
        <v>0</v>
      </c>
      <c r="J178">
        <f>IF(ABS(I178)&gt;0.01, "Priority 3", "None")</f>
        <v>0</v>
      </c>
    </row>
    <row r="179" spans="1:10">
      <c r="A179" t="s">
        <v>1248</v>
      </c>
      <c r="B179" t="s">
        <v>1071</v>
      </c>
      <c r="C179">
        <v>40</v>
      </c>
      <c r="D179">
        <v>24.3</v>
      </c>
      <c r="E179">
        <f>MAX(ROUNDUP(D179, 0), C179)</f>
        <v>0</v>
      </c>
      <c r="F179" s="2">
        <v>10.4</v>
      </c>
      <c r="G179" s="2">
        <f>E179*F179</f>
        <v>0</v>
      </c>
      <c r="H179" s="2">
        <v>416</v>
      </c>
      <c r="I179" s="2">
        <f>ROUND(H179-G179, 2)</f>
        <v>0</v>
      </c>
      <c r="J179">
        <f>IF(ABS(I179)&gt;0.01, "Priority 3", "None")</f>
        <v>0</v>
      </c>
    </row>
    <row r="180" spans="1:10">
      <c r="A180" t="s">
        <v>1249</v>
      </c>
      <c r="B180" t="s">
        <v>1071</v>
      </c>
      <c r="C180">
        <v>32</v>
      </c>
      <c r="D180">
        <v>57.6</v>
      </c>
      <c r="E180">
        <f>MAX(ROUNDUP(D180, 0), C180)</f>
        <v>0</v>
      </c>
      <c r="F180" s="2">
        <v>10.4</v>
      </c>
      <c r="G180" s="2">
        <f>E180*F180</f>
        <v>0</v>
      </c>
      <c r="H180" s="2">
        <v>603.2</v>
      </c>
      <c r="I180" s="2">
        <f>ROUND(H180-G180, 2)</f>
        <v>0</v>
      </c>
      <c r="J180">
        <f>IF(ABS(I180)&gt;0.01, "Priority 3", "None")</f>
        <v>0</v>
      </c>
    </row>
    <row r="181" spans="1:10">
      <c r="A181" t="s">
        <v>1250</v>
      </c>
      <c r="B181" t="s">
        <v>1071</v>
      </c>
      <c r="C181">
        <v>36</v>
      </c>
      <c r="D181">
        <v>20.2</v>
      </c>
      <c r="E181">
        <f>MAX(ROUNDUP(D181, 0), C181)</f>
        <v>0</v>
      </c>
      <c r="F181" s="2">
        <v>10.4</v>
      </c>
      <c r="G181" s="2">
        <f>E181*F181</f>
        <v>0</v>
      </c>
      <c r="H181" s="2">
        <v>374.4</v>
      </c>
      <c r="I181" s="2">
        <f>ROUND(H181-G181, 2)</f>
        <v>0</v>
      </c>
      <c r="J181">
        <f>IF(ABS(I181)&gt;0.01, "Priority 3", "None")</f>
        <v>0</v>
      </c>
    </row>
    <row r="182" spans="1:10">
      <c r="A182" t="s">
        <v>1251</v>
      </c>
      <c r="B182" t="s">
        <v>1071</v>
      </c>
      <c r="C182">
        <v>32</v>
      </c>
      <c r="D182">
        <v>61.6</v>
      </c>
      <c r="E182">
        <f>MAX(ROUNDUP(D182, 0), C182)</f>
        <v>0</v>
      </c>
      <c r="F182" s="2">
        <v>10.4</v>
      </c>
      <c r="G182" s="2">
        <f>E182*F182</f>
        <v>0</v>
      </c>
      <c r="H182" s="2">
        <v>644.8</v>
      </c>
      <c r="I182" s="2">
        <f>ROUND(H182-G182, 2)</f>
        <v>0</v>
      </c>
      <c r="J182">
        <f>IF(ABS(I182)&gt;0.01, "Priority 3", "None")</f>
        <v>0</v>
      </c>
    </row>
    <row r="183" spans="1:10">
      <c r="A183" t="s">
        <v>1252</v>
      </c>
      <c r="B183" t="s">
        <v>1071</v>
      </c>
      <c r="C183">
        <v>36</v>
      </c>
      <c r="D183">
        <v>53.6</v>
      </c>
      <c r="E183">
        <f>MAX(ROUNDUP(D183, 0), C183)</f>
        <v>0</v>
      </c>
      <c r="F183" s="2">
        <v>10.4</v>
      </c>
      <c r="G183" s="2">
        <f>E183*F183</f>
        <v>0</v>
      </c>
      <c r="H183" s="2">
        <v>561.6</v>
      </c>
      <c r="I183" s="2">
        <f>ROUND(H183-G183, 2)</f>
        <v>0</v>
      </c>
      <c r="J183">
        <f>IF(ABS(I183)&gt;0.01, "Priority 3", "None")</f>
        <v>0</v>
      </c>
    </row>
    <row r="184" spans="1:10">
      <c r="A184" t="s">
        <v>1253</v>
      </c>
      <c r="B184" t="s">
        <v>1071</v>
      </c>
      <c r="C184">
        <v>28</v>
      </c>
      <c r="D184">
        <v>57.3</v>
      </c>
      <c r="E184">
        <f>MAX(ROUNDUP(D184, 0), C184)</f>
        <v>0</v>
      </c>
      <c r="F184" s="2">
        <v>10.4</v>
      </c>
      <c r="G184" s="2">
        <f>E184*F184</f>
        <v>0</v>
      </c>
      <c r="H184" s="2">
        <v>603.2</v>
      </c>
      <c r="I184" s="2">
        <f>ROUND(H184-G184, 2)</f>
        <v>0</v>
      </c>
      <c r="J184">
        <f>IF(ABS(I184)&gt;0.01, "Priority 3", "None")</f>
        <v>0</v>
      </c>
    </row>
    <row r="185" spans="1:10">
      <c r="A185" t="s">
        <v>1254</v>
      </c>
      <c r="B185" t="s">
        <v>1071</v>
      </c>
      <c r="C185">
        <v>24</v>
      </c>
      <c r="D185">
        <v>45.7</v>
      </c>
      <c r="E185">
        <f>MAX(ROUNDUP(D185, 0), C185)</f>
        <v>0</v>
      </c>
      <c r="F185" s="2">
        <v>10.4</v>
      </c>
      <c r="G185" s="2">
        <f>E185*F185</f>
        <v>0</v>
      </c>
      <c r="H185" s="2">
        <v>478.4</v>
      </c>
      <c r="I185" s="2">
        <f>ROUND(H185-G185, 2)</f>
        <v>0</v>
      </c>
      <c r="J185">
        <f>IF(ABS(I185)&gt;0.01, "Priority 3", "None")</f>
        <v>0</v>
      </c>
    </row>
    <row r="186" spans="1:10">
      <c r="A186" t="s">
        <v>1255</v>
      </c>
      <c r="B186" t="s">
        <v>1071</v>
      </c>
      <c r="C186">
        <v>28</v>
      </c>
      <c r="D186">
        <v>49.9</v>
      </c>
      <c r="E186">
        <f>MAX(ROUNDUP(D186, 0), C186)</f>
        <v>0</v>
      </c>
      <c r="F186" s="2">
        <v>10.4</v>
      </c>
      <c r="G186" s="2">
        <f>E186*F186</f>
        <v>0</v>
      </c>
      <c r="H186" s="2">
        <v>520</v>
      </c>
      <c r="I186" s="2">
        <f>ROUND(H186-G186, 2)</f>
        <v>0</v>
      </c>
      <c r="J186">
        <f>IF(ABS(I186)&gt;0.01, "Priority 3", "None")</f>
        <v>0</v>
      </c>
    </row>
    <row r="187" spans="1:10">
      <c r="A187" t="s">
        <v>1256</v>
      </c>
      <c r="B187" t="s">
        <v>1071</v>
      </c>
      <c r="C187">
        <v>24</v>
      </c>
      <c r="D187">
        <v>46.7</v>
      </c>
      <c r="E187">
        <f>MAX(ROUNDUP(D187, 0), C187)</f>
        <v>0</v>
      </c>
      <c r="F187" s="2">
        <v>10.4</v>
      </c>
      <c r="G187" s="2">
        <f>E187*F187</f>
        <v>0</v>
      </c>
      <c r="H187" s="2">
        <v>488.8</v>
      </c>
      <c r="I187" s="2">
        <f>ROUND(H187-G187, 2)</f>
        <v>0</v>
      </c>
      <c r="J187">
        <f>IF(ABS(I187)&gt;0.01, "Priority 3", "None")</f>
        <v>0</v>
      </c>
    </row>
    <row r="188" spans="1:10">
      <c r="A188" t="s">
        <v>1257</v>
      </c>
      <c r="B188" t="s">
        <v>1071</v>
      </c>
      <c r="C188">
        <v>28</v>
      </c>
      <c r="D188">
        <v>38</v>
      </c>
      <c r="E188">
        <f>MAX(ROUNDUP(D188, 0), C188)</f>
        <v>0</v>
      </c>
      <c r="F188" s="2">
        <v>10.4</v>
      </c>
      <c r="G188" s="2">
        <f>E188*F188</f>
        <v>0</v>
      </c>
      <c r="H188" s="2">
        <v>395.2</v>
      </c>
      <c r="I188" s="2">
        <f>ROUND(H188-G188, 2)</f>
        <v>0</v>
      </c>
      <c r="J188">
        <f>IF(ABS(I188)&gt;0.01, "Priority 3", "None")</f>
        <v>0</v>
      </c>
    </row>
    <row r="189" spans="1:10">
      <c r="A189" t="s">
        <v>1258</v>
      </c>
      <c r="B189" t="s">
        <v>1071</v>
      </c>
      <c r="C189">
        <v>24</v>
      </c>
      <c r="D189">
        <v>43.3</v>
      </c>
      <c r="E189">
        <f>MAX(ROUNDUP(D189, 0), C189)</f>
        <v>0</v>
      </c>
      <c r="F189" s="2">
        <v>10.4</v>
      </c>
      <c r="G189" s="2">
        <f>E189*F189</f>
        <v>0</v>
      </c>
      <c r="H189" s="2">
        <v>457.6</v>
      </c>
      <c r="I189" s="2">
        <f>ROUND(H189-G189, 2)</f>
        <v>0</v>
      </c>
      <c r="J189">
        <f>IF(ABS(I189)&gt;0.01, "Priority 3", "None")</f>
        <v>0</v>
      </c>
    </row>
    <row r="190" spans="1:10">
      <c r="A190" t="s">
        <v>1259</v>
      </c>
      <c r="B190" t="s">
        <v>1071</v>
      </c>
      <c r="C190">
        <v>32</v>
      </c>
      <c r="D190">
        <v>32.6</v>
      </c>
      <c r="E190">
        <f>MAX(ROUNDUP(D190, 0), C190)</f>
        <v>0</v>
      </c>
      <c r="F190" s="2">
        <v>10.4</v>
      </c>
      <c r="G190" s="2">
        <f>E190*F190</f>
        <v>0</v>
      </c>
      <c r="H190" s="2">
        <v>343.2</v>
      </c>
      <c r="I190" s="2">
        <f>ROUND(H190-G190, 2)</f>
        <v>0</v>
      </c>
      <c r="J190">
        <f>IF(ABS(I190)&gt;0.01, "Priority 3", "None")</f>
        <v>0</v>
      </c>
    </row>
    <row r="191" spans="1:10">
      <c r="A191" t="s">
        <v>1260</v>
      </c>
      <c r="B191" t="s">
        <v>1071</v>
      </c>
      <c r="C191">
        <v>32</v>
      </c>
      <c r="D191">
        <v>43.1</v>
      </c>
      <c r="E191">
        <f>MAX(ROUNDUP(D191, 0), C191)</f>
        <v>0</v>
      </c>
      <c r="F191" s="2">
        <v>10.4</v>
      </c>
      <c r="G191" s="2">
        <f>E191*F191</f>
        <v>0</v>
      </c>
      <c r="H191" s="2">
        <v>457.6</v>
      </c>
      <c r="I191" s="2">
        <f>ROUND(H191-G191, 2)</f>
        <v>0</v>
      </c>
      <c r="J191">
        <f>IF(ABS(I191)&gt;0.01, "Priority 3", "None")</f>
        <v>0</v>
      </c>
    </row>
    <row r="192" spans="1:10">
      <c r="A192" t="s">
        <v>1261</v>
      </c>
      <c r="B192" t="s">
        <v>1071</v>
      </c>
      <c r="C192">
        <v>40</v>
      </c>
      <c r="D192">
        <v>35.1</v>
      </c>
      <c r="E192">
        <f>MAX(ROUNDUP(D192, 0), C192)</f>
        <v>0</v>
      </c>
      <c r="F192" s="2">
        <v>10.4</v>
      </c>
      <c r="G192" s="2">
        <f>E192*F192</f>
        <v>0</v>
      </c>
      <c r="H192" s="2">
        <v>416</v>
      </c>
      <c r="I192" s="2">
        <f>ROUND(H192-G192, 2)</f>
        <v>0</v>
      </c>
      <c r="J192">
        <f>IF(ABS(I192)&gt;0.01, "Priority 3", "None")</f>
        <v>0</v>
      </c>
    </row>
    <row r="193" spans="1:10">
      <c r="A193" t="s">
        <v>1262</v>
      </c>
      <c r="B193" t="s">
        <v>1071</v>
      </c>
      <c r="C193">
        <v>32</v>
      </c>
      <c r="D193">
        <v>35.1</v>
      </c>
      <c r="E193">
        <f>MAX(ROUNDUP(D193, 0), C193)</f>
        <v>0</v>
      </c>
      <c r="F193" s="2">
        <v>10.4</v>
      </c>
      <c r="G193" s="2">
        <f>E193*F193</f>
        <v>0</v>
      </c>
      <c r="H193" s="2">
        <v>374.4</v>
      </c>
      <c r="I193" s="2">
        <f>ROUND(H193-G193, 2)</f>
        <v>0</v>
      </c>
      <c r="J193">
        <f>IF(ABS(I193)&gt;0.01, "Priority 3", "None")</f>
        <v>0</v>
      </c>
    </row>
    <row r="194" spans="1:10">
      <c r="A194" t="s">
        <v>1263</v>
      </c>
      <c r="B194" t="s">
        <v>1071</v>
      </c>
      <c r="C194">
        <v>36</v>
      </c>
      <c r="D194">
        <v>34.5</v>
      </c>
      <c r="E194">
        <f>MAX(ROUNDUP(D194, 0), C194)</f>
        <v>0</v>
      </c>
      <c r="F194" s="2">
        <v>10.4</v>
      </c>
      <c r="G194" s="2">
        <f>E194*F194</f>
        <v>0</v>
      </c>
      <c r="H194" s="2">
        <v>374.4</v>
      </c>
      <c r="I194" s="2">
        <f>ROUND(H194-G194, 2)</f>
        <v>0</v>
      </c>
      <c r="J194">
        <f>IF(ABS(I194)&gt;0.01, "Priority 3", "None")</f>
        <v>0</v>
      </c>
    </row>
    <row r="195" spans="1:10">
      <c r="A195" t="s">
        <v>1264</v>
      </c>
      <c r="B195" t="s">
        <v>1071</v>
      </c>
      <c r="C195">
        <v>36</v>
      </c>
      <c r="D195">
        <v>58.2</v>
      </c>
      <c r="E195">
        <f>MAX(ROUNDUP(D195, 0), C195)</f>
        <v>0</v>
      </c>
      <c r="F195" s="2">
        <v>10.4</v>
      </c>
      <c r="G195" s="2">
        <f>E195*F195</f>
        <v>0</v>
      </c>
      <c r="H195" s="2">
        <v>613.6</v>
      </c>
      <c r="I195" s="2">
        <f>ROUND(H195-G195, 2)</f>
        <v>0</v>
      </c>
      <c r="J195">
        <f>IF(ABS(I195)&gt;0.01, "Priority 3", "None")</f>
        <v>0</v>
      </c>
    </row>
    <row r="196" spans="1:10">
      <c r="A196" t="s">
        <v>1265</v>
      </c>
      <c r="B196" t="s">
        <v>1071</v>
      </c>
      <c r="C196">
        <v>32</v>
      </c>
      <c r="D196">
        <v>24.5</v>
      </c>
      <c r="E196">
        <f>MAX(ROUNDUP(D196, 0), C196)</f>
        <v>0</v>
      </c>
      <c r="F196" s="2">
        <v>10.4</v>
      </c>
      <c r="G196" s="2">
        <f>E196*F196</f>
        <v>0</v>
      </c>
      <c r="H196" s="2">
        <v>332.8</v>
      </c>
      <c r="I196" s="2">
        <f>ROUND(H196-G196, 2)</f>
        <v>0</v>
      </c>
      <c r="J196">
        <f>IF(ABS(I196)&gt;0.01, "Priority 3", "None")</f>
        <v>0</v>
      </c>
    </row>
    <row r="197" spans="1:10">
      <c r="A197" t="s">
        <v>1266</v>
      </c>
      <c r="B197" t="s">
        <v>1071</v>
      </c>
      <c r="C197">
        <v>28</v>
      </c>
      <c r="D197">
        <v>38.3</v>
      </c>
      <c r="E197">
        <f>MAX(ROUNDUP(D197, 0), C197)</f>
        <v>0</v>
      </c>
      <c r="F197" s="2">
        <v>10.4</v>
      </c>
      <c r="G197" s="2">
        <f>E197*F197</f>
        <v>0</v>
      </c>
      <c r="H197" s="2">
        <v>405.6</v>
      </c>
      <c r="I197" s="2">
        <f>ROUND(H197-G197, 2)</f>
        <v>0</v>
      </c>
      <c r="J197">
        <f>IF(ABS(I197)&gt;0.01, "Priority 3", "None")</f>
        <v>0</v>
      </c>
    </row>
    <row r="198" spans="1:10">
      <c r="A198" t="s">
        <v>1267</v>
      </c>
      <c r="B198" t="s">
        <v>1071</v>
      </c>
      <c r="C198">
        <v>28</v>
      </c>
      <c r="D198">
        <v>24.8</v>
      </c>
      <c r="E198">
        <f>MAX(ROUNDUP(D198, 0), C198)</f>
        <v>0</v>
      </c>
      <c r="F198" s="2">
        <v>10.4</v>
      </c>
      <c r="G198" s="2">
        <f>E198*F198</f>
        <v>0</v>
      </c>
      <c r="H198" s="2">
        <v>291.2</v>
      </c>
      <c r="I198" s="2">
        <f>ROUND(H198-G198, 2)</f>
        <v>0</v>
      </c>
      <c r="J198">
        <f>IF(ABS(I198)&gt;0.01, "Priority 3", "None")</f>
        <v>0</v>
      </c>
    </row>
    <row r="199" spans="1:10">
      <c r="A199" t="s">
        <v>1268</v>
      </c>
      <c r="B199" t="s">
        <v>1071</v>
      </c>
      <c r="C199">
        <v>24</v>
      </c>
      <c r="D199">
        <v>58</v>
      </c>
      <c r="E199">
        <f>MAX(ROUNDUP(D199, 0), C199)</f>
        <v>0</v>
      </c>
      <c r="F199" s="2">
        <v>10.4</v>
      </c>
      <c r="G199" s="2">
        <f>E199*F199</f>
        <v>0</v>
      </c>
      <c r="H199" s="2">
        <v>603.2</v>
      </c>
      <c r="I199" s="2">
        <f>ROUND(H199-G199, 2)</f>
        <v>0</v>
      </c>
      <c r="J199">
        <f>IF(ABS(I199)&gt;0.01, "Priority 3", "None")</f>
        <v>0</v>
      </c>
    </row>
    <row r="200" spans="1:10">
      <c r="A200" t="s">
        <v>1269</v>
      </c>
      <c r="B200" t="s">
        <v>1071</v>
      </c>
      <c r="C200">
        <v>24</v>
      </c>
      <c r="D200">
        <v>21</v>
      </c>
      <c r="E200">
        <f>MAX(ROUNDUP(D200, 0), C200)</f>
        <v>0</v>
      </c>
      <c r="F200" s="2">
        <v>10.4</v>
      </c>
      <c r="G200" s="2">
        <f>E200*F200</f>
        <v>0</v>
      </c>
      <c r="H200" s="2">
        <v>249.6</v>
      </c>
      <c r="I200" s="2">
        <f>ROUND(H200-G200, 2)</f>
        <v>0</v>
      </c>
      <c r="J200">
        <f>IF(ABS(I200)&gt;0.01, "Priority 3", "None")</f>
        <v>0</v>
      </c>
    </row>
    <row r="201" spans="1:10">
      <c r="A201" t="s">
        <v>1270</v>
      </c>
      <c r="B201" t="s">
        <v>1071</v>
      </c>
      <c r="C201">
        <v>28</v>
      </c>
      <c r="D201">
        <v>59.9</v>
      </c>
      <c r="E201">
        <f>MAX(ROUNDUP(D201, 0), C201)</f>
        <v>0</v>
      </c>
      <c r="F201" s="2">
        <v>10.4</v>
      </c>
      <c r="G201" s="2">
        <f>E201*F201</f>
        <v>0</v>
      </c>
      <c r="H201" s="2">
        <v>624</v>
      </c>
      <c r="I201" s="2">
        <f>ROUND(H201-G201, 2)</f>
        <v>0</v>
      </c>
      <c r="J201">
        <f>IF(ABS(I201)&gt;0.01, "Priority 3", "None")</f>
        <v>0</v>
      </c>
    </row>
    <row r="202" spans="1:10">
      <c r="A202" t="s">
        <v>1271</v>
      </c>
      <c r="B202" t="s">
        <v>1071</v>
      </c>
      <c r="C202">
        <v>40</v>
      </c>
      <c r="D202">
        <v>54.4</v>
      </c>
      <c r="E202">
        <f>MAX(ROUNDUP(D202, 0), C202)</f>
        <v>0</v>
      </c>
      <c r="F202" s="2">
        <v>10.4</v>
      </c>
      <c r="G202" s="2">
        <f>E202*F202</f>
        <v>0</v>
      </c>
      <c r="H202" s="2">
        <v>572</v>
      </c>
      <c r="I202" s="2">
        <f>ROUND(H202-G202, 2)</f>
        <v>0</v>
      </c>
      <c r="J202">
        <f>IF(ABS(I202)&gt;0.01, "Priority 3", "None")</f>
        <v>0</v>
      </c>
    </row>
    <row r="203" spans="1:10">
      <c r="A203" t="s">
        <v>1272</v>
      </c>
      <c r="B203" t="s">
        <v>1071</v>
      </c>
      <c r="C203">
        <v>32</v>
      </c>
      <c r="D203">
        <v>62</v>
      </c>
      <c r="E203">
        <f>MAX(ROUNDUP(D203, 0), C203)</f>
        <v>0</v>
      </c>
      <c r="F203" s="2">
        <v>10.4</v>
      </c>
      <c r="G203" s="2">
        <f>E203*F203</f>
        <v>0</v>
      </c>
      <c r="H203" s="2">
        <v>644.8</v>
      </c>
      <c r="I203" s="2">
        <f>ROUND(H203-G203, 2)</f>
        <v>0</v>
      </c>
      <c r="J203">
        <f>IF(ABS(I203)&gt;0.01, "Priority 3", "None")</f>
        <v>0</v>
      </c>
    </row>
    <row r="204" spans="1:10">
      <c r="A204" t="s">
        <v>1273</v>
      </c>
      <c r="B204" t="s">
        <v>1071</v>
      </c>
      <c r="C204">
        <v>28</v>
      </c>
      <c r="D204">
        <v>56.2</v>
      </c>
      <c r="E204">
        <f>MAX(ROUNDUP(D204, 0), C204)</f>
        <v>0</v>
      </c>
      <c r="F204" s="2">
        <v>10.4</v>
      </c>
      <c r="G204" s="2">
        <f>E204*F204</f>
        <v>0</v>
      </c>
      <c r="H204" s="2">
        <v>592.8</v>
      </c>
      <c r="I204" s="2">
        <f>ROUND(H204-G204, 2)</f>
        <v>0</v>
      </c>
      <c r="J204">
        <f>IF(ABS(I204)&gt;0.01, "Priority 3", "None")</f>
        <v>0</v>
      </c>
    </row>
    <row r="205" spans="1:10">
      <c r="A205" t="s">
        <v>1274</v>
      </c>
      <c r="B205" t="s">
        <v>1071</v>
      </c>
      <c r="C205">
        <v>24</v>
      </c>
      <c r="D205">
        <v>33.9</v>
      </c>
      <c r="E205">
        <f>MAX(ROUNDUP(D205, 0), C205)</f>
        <v>0</v>
      </c>
      <c r="F205" s="2">
        <v>10.4</v>
      </c>
      <c r="G205" s="2">
        <f>E205*F205</f>
        <v>0</v>
      </c>
      <c r="H205" s="2">
        <v>353.6</v>
      </c>
      <c r="I205" s="2">
        <f>ROUND(H205-G205, 2)</f>
        <v>0</v>
      </c>
      <c r="J205">
        <f>IF(ABS(I205)&gt;0.01, "Priority 3", "None")</f>
        <v>0</v>
      </c>
    </row>
    <row r="206" spans="1:10">
      <c r="A206" t="s">
        <v>1275</v>
      </c>
      <c r="B206" t="s">
        <v>1071</v>
      </c>
      <c r="C206">
        <v>28</v>
      </c>
      <c r="D206">
        <v>38</v>
      </c>
      <c r="E206">
        <f>MAX(ROUNDUP(D206, 0), C206)</f>
        <v>0</v>
      </c>
      <c r="F206" s="2">
        <v>10.4</v>
      </c>
      <c r="G206" s="2">
        <f>E206*F206</f>
        <v>0</v>
      </c>
      <c r="H206" s="2">
        <v>395.2</v>
      </c>
      <c r="I206" s="2">
        <f>ROUND(H206-G206, 2)</f>
        <v>0</v>
      </c>
      <c r="J206">
        <f>IF(ABS(I206)&gt;0.01, "Priority 3", "None")</f>
        <v>0</v>
      </c>
    </row>
    <row r="207" spans="1:10">
      <c r="A207" t="s">
        <v>1276</v>
      </c>
      <c r="B207" t="s">
        <v>1071</v>
      </c>
      <c r="C207">
        <v>36</v>
      </c>
      <c r="D207">
        <v>19.5</v>
      </c>
      <c r="E207">
        <f>MAX(ROUNDUP(D207, 0), C207)</f>
        <v>0</v>
      </c>
      <c r="F207" s="2">
        <v>10.4</v>
      </c>
      <c r="G207" s="2">
        <f>E207*F207</f>
        <v>0</v>
      </c>
      <c r="H207" s="2">
        <v>374.4</v>
      </c>
      <c r="I207" s="2">
        <f>ROUND(H207-G207, 2)</f>
        <v>0</v>
      </c>
      <c r="J207">
        <f>IF(ABS(I207)&gt;0.01, "Priority 3", "None")</f>
        <v>0</v>
      </c>
    </row>
    <row r="208" spans="1:10">
      <c r="A208" t="s">
        <v>1277</v>
      </c>
      <c r="B208" t="s">
        <v>1071</v>
      </c>
      <c r="C208">
        <v>32</v>
      </c>
      <c r="D208">
        <v>57.9</v>
      </c>
      <c r="E208">
        <f>MAX(ROUNDUP(D208, 0), C208)</f>
        <v>0</v>
      </c>
      <c r="F208" s="2">
        <v>10.4</v>
      </c>
      <c r="G208" s="2">
        <f>E208*F208</f>
        <v>0</v>
      </c>
      <c r="H208" s="2">
        <v>603.2</v>
      </c>
      <c r="I208" s="2">
        <f>ROUND(H208-G208, 2)</f>
        <v>0</v>
      </c>
      <c r="J208">
        <f>IF(ABS(I208)&gt;0.01, "Priority 3", "None")</f>
        <v>0</v>
      </c>
    </row>
    <row r="209" spans="1:10">
      <c r="A209" t="s">
        <v>1278</v>
      </c>
      <c r="B209" t="s">
        <v>1071</v>
      </c>
      <c r="C209">
        <v>32</v>
      </c>
      <c r="D209">
        <v>58.9</v>
      </c>
      <c r="E209">
        <f>MAX(ROUNDUP(D209, 0), C209)</f>
        <v>0</v>
      </c>
      <c r="F209" s="2">
        <v>10.4</v>
      </c>
      <c r="G209" s="2">
        <f>E209*F209</f>
        <v>0</v>
      </c>
      <c r="H209" s="2">
        <v>613.6</v>
      </c>
      <c r="I209" s="2">
        <f>ROUND(H209-G209, 2)</f>
        <v>0</v>
      </c>
      <c r="J209">
        <f>IF(ABS(I209)&gt;0.01, "Priority 3", "None")</f>
        <v>0</v>
      </c>
    </row>
    <row r="210" spans="1:10">
      <c r="A210" t="s">
        <v>1279</v>
      </c>
      <c r="B210" t="s">
        <v>1071</v>
      </c>
      <c r="C210">
        <v>32</v>
      </c>
      <c r="D210">
        <v>19.3</v>
      </c>
      <c r="E210">
        <f>MAX(ROUNDUP(D210, 0), C210)</f>
        <v>0</v>
      </c>
      <c r="F210" s="2">
        <v>10.4</v>
      </c>
      <c r="G210" s="2">
        <f>E210*F210</f>
        <v>0</v>
      </c>
      <c r="H210" s="2">
        <v>332.8</v>
      </c>
      <c r="I210" s="2">
        <f>ROUND(H210-G210, 2)</f>
        <v>0</v>
      </c>
      <c r="J210">
        <f>IF(ABS(I210)&gt;0.01, "Priority 3", "None")</f>
        <v>0</v>
      </c>
    </row>
    <row r="211" spans="1:10">
      <c r="A211" t="s">
        <v>1280</v>
      </c>
      <c r="B211" t="s">
        <v>1071</v>
      </c>
      <c r="C211">
        <v>32</v>
      </c>
      <c r="D211">
        <v>61.8</v>
      </c>
      <c r="E211">
        <f>MAX(ROUNDUP(D211, 0), C211)</f>
        <v>0</v>
      </c>
      <c r="F211" s="2">
        <v>10.4</v>
      </c>
      <c r="G211" s="2">
        <f>E211*F211</f>
        <v>0</v>
      </c>
      <c r="H211" s="2">
        <v>644.8</v>
      </c>
      <c r="I211" s="2">
        <f>ROUND(H211-G211, 2)</f>
        <v>0</v>
      </c>
      <c r="J211">
        <f>IF(ABS(I211)&gt;0.01, "Priority 3", "None")</f>
        <v>0</v>
      </c>
    </row>
    <row r="212" spans="1:10">
      <c r="A212" t="s">
        <v>1281</v>
      </c>
      <c r="B212" t="s">
        <v>1071</v>
      </c>
      <c r="C212">
        <v>24</v>
      </c>
      <c r="D212">
        <v>40.9</v>
      </c>
      <c r="E212">
        <f>MAX(ROUNDUP(D212, 0), C212)</f>
        <v>0</v>
      </c>
      <c r="F212" s="2">
        <v>10.4</v>
      </c>
      <c r="G212" s="2">
        <f>E212*F212</f>
        <v>0</v>
      </c>
      <c r="H212" s="2">
        <v>426.4</v>
      </c>
      <c r="I212" s="2">
        <f>ROUND(H212-G212, 2)</f>
        <v>0</v>
      </c>
      <c r="J212">
        <f>IF(ABS(I212)&gt;0.01, "Priority 3", "None")</f>
        <v>0</v>
      </c>
    </row>
    <row r="213" spans="1:10">
      <c r="A213" t="s">
        <v>1282</v>
      </c>
      <c r="B213" t="s">
        <v>1071</v>
      </c>
      <c r="C213">
        <v>28</v>
      </c>
      <c r="D213">
        <v>28.7</v>
      </c>
      <c r="E213">
        <f>MAX(ROUNDUP(D213, 0), C213)</f>
        <v>0</v>
      </c>
      <c r="F213" s="2">
        <v>10.4</v>
      </c>
      <c r="G213" s="2">
        <f>E213*F213</f>
        <v>0</v>
      </c>
      <c r="H213" s="2">
        <v>301.6</v>
      </c>
      <c r="I213" s="2">
        <f>ROUND(H213-G213, 2)</f>
        <v>0</v>
      </c>
      <c r="J213">
        <f>IF(ABS(I213)&gt;0.01, "Priority 3", "None")</f>
        <v>0</v>
      </c>
    </row>
    <row r="214" spans="1:10">
      <c r="A214" t="s">
        <v>1283</v>
      </c>
      <c r="B214" t="s">
        <v>1071</v>
      </c>
      <c r="C214">
        <v>28</v>
      </c>
      <c r="D214">
        <v>19.5</v>
      </c>
      <c r="E214">
        <f>MAX(ROUNDUP(D214, 0), C214)</f>
        <v>0</v>
      </c>
      <c r="F214" s="2">
        <v>10.4</v>
      </c>
      <c r="G214" s="2">
        <f>E214*F214</f>
        <v>0</v>
      </c>
      <c r="H214" s="2">
        <v>291.2</v>
      </c>
      <c r="I214" s="2">
        <f>ROUND(H214-G214, 2)</f>
        <v>0</v>
      </c>
      <c r="J214">
        <f>IF(ABS(I214)&gt;0.01, "Priority 3", "None")</f>
        <v>0</v>
      </c>
    </row>
    <row r="215" spans="1:10">
      <c r="A215" t="s">
        <v>1284</v>
      </c>
      <c r="B215" t="s">
        <v>1071</v>
      </c>
      <c r="C215">
        <v>24</v>
      </c>
      <c r="D215">
        <v>19.4</v>
      </c>
      <c r="E215">
        <f>MAX(ROUNDUP(D215, 0), C215)</f>
        <v>0</v>
      </c>
      <c r="F215" s="2">
        <v>10.4</v>
      </c>
      <c r="G215" s="2">
        <f>E215*F215</f>
        <v>0</v>
      </c>
      <c r="H215" s="2">
        <v>249.6</v>
      </c>
      <c r="I215" s="2">
        <f>ROUND(H215-G215, 2)</f>
        <v>0</v>
      </c>
      <c r="J215">
        <f>IF(ABS(I215)&gt;0.01, "Priority 3", "None")</f>
        <v>0</v>
      </c>
    </row>
    <row r="216" spans="1:10">
      <c r="A216" t="s">
        <v>1285</v>
      </c>
      <c r="B216" t="s">
        <v>1071</v>
      </c>
      <c r="C216">
        <v>28</v>
      </c>
      <c r="D216">
        <v>25.9</v>
      </c>
      <c r="E216">
        <f>MAX(ROUNDUP(D216, 0), C216)</f>
        <v>0</v>
      </c>
      <c r="F216" s="2">
        <v>10.4</v>
      </c>
      <c r="G216" s="2">
        <f>E216*F216</f>
        <v>0</v>
      </c>
      <c r="H216" s="2">
        <v>291.2</v>
      </c>
      <c r="I216" s="2">
        <f>ROUND(H216-G216, 2)</f>
        <v>0</v>
      </c>
      <c r="J216">
        <f>IF(ABS(I216)&gt;0.01, "Priority 3", "None")</f>
        <v>0</v>
      </c>
    </row>
    <row r="217" spans="1:10">
      <c r="A217" t="s">
        <v>1286</v>
      </c>
      <c r="B217" t="s">
        <v>1071</v>
      </c>
      <c r="C217">
        <v>32</v>
      </c>
      <c r="D217">
        <v>55.1</v>
      </c>
      <c r="E217">
        <f>MAX(ROUNDUP(D217, 0), C217)</f>
        <v>0</v>
      </c>
      <c r="F217" s="2">
        <v>10.4</v>
      </c>
      <c r="G217" s="2">
        <f>E217*F217</f>
        <v>0</v>
      </c>
      <c r="H217" s="2">
        <v>582.4</v>
      </c>
      <c r="I217" s="2">
        <f>ROUND(H217-G217, 2)</f>
        <v>0</v>
      </c>
      <c r="J217">
        <f>IF(ABS(I217)&gt;0.01, "Priority 3", "None")</f>
        <v>0</v>
      </c>
    </row>
    <row r="218" spans="1:10">
      <c r="A218" t="s">
        <v>1287</v>
      </c>
      <c r="B218" t="s">
        <v>1071</v>
      </c>
      <c r="C218">
        <v>32</v>
      </c>
      <c r="D218">
        <v>53.2</v>
      </c>
      <c r="E218">
        <f>MAX(ROUNDUP(D218, 0), C218)</f>
        <v>0</v>
      </c>
      <c r="F218" s="2">
        <v>10.4</v>
      </c>
      <c r="G218" s="2">
        <f>E218*F218</f>
        <v>0</v>
      </c>
      <c r="H218" s="2">
        <v>561.6</v>
      </c>
      <c r="I218" s="2">
        <f>ROUND(H218-G218, 2)</f>
        <v>0</v>
      </c>
      <c r="J218">
        <f>IF(ABS(I218)&gt;0.01, "Priority 3", "None")</f>
        <v>0</v>
      </c>
    </row>
    <row r="219" spans="1:10">
      <c r="A219" t="s">
        <v>1288</v>
      </c>
      <c r="B219" t="s">
        <v>1071</v>
      </c>
      <c r="C219">
        <v>32</v>
      </c>
      <c r="D219">
        <v>25.1</v>
      </c>
      <c r="E219">
        <f>MAX(ROUNDUP(D219, 0), C219)</f>
        <v>0</v>
      </c>
      <c r="F219" s="2">
        <v>10.4</v>
      </c>
      <c r="G219" s="2">
        <f>E219*F219</f>
        <v>0</v>
      </c>
      <c r="H219" s="2">
        <v>332.8</v>
      </c>
      <c r="I219" s="2">
        <f>ROUND(H219-G219, 2)</f>
        <v>0</v>
      </c>
      <c r="J219">
        <f>IF(ABS(I219)&gt;0.01, "Priority 3", "None")</f>
        <v>0</v>
      </c>
    </row>
    <row r="220" spans="1:10">
      <c r="A220" t="s">
        <v>1289</v>
      </c>
      <c r="B220" t="s">
        <v>1071</v>
      </c>
      <c r="C220">
        <v>24</v>
      </c>
      <c r="D220">
        <v>36.2</v>
      </c>
      <c r="E220">
        <f>MAX(ROUNDUP(D220, 0), C220)</f>
        <v>0</v>
      </c>
      <c r="F220" s="2">
        <v>10.4</v>
      </c>
      <c r="G220" s="2">
        <f>E220*F220</f>
        <v>0</v>
      </c>
      <c r="H220" s="2">
        <v>384.8</v>
      </c>
      <c r="I220" s="2">
        <f>ROUND(H220-G220, 2)</f>
        <v>0</v>
      </c>
      <c r="J220">
        <f>IF(ABS(I220)&gt;0.01, "Priority 3", "None")</f>
        <v>0</v>
      </c>
    </row>
    <row r="221" spans="1:10">
      <c r="A221" t="s">
        <v>1290</v>
      </c>
      <c r="B221" t="s">
        <v>1071</v>
      </c>
      <c r="C221">
        <v>24</v>
      </c>
      <c r="D221">
        <v>28.7</v>
      </c>
      <c r="E221">
        <f>MAX(ROUNDUP(D221, 0), C221)</f>
        <v>0</v>
      </c>
      <c r="F221" s="2">
        <v>10.4</v>
      </c>
      <c r="G221" s="2">
        <f>E221*F221</f>
        <v>0</v>
      </c>
      <c r="H221" s="2">
        <v>301.6</v>
      </c>
      <c r="I221" s="2">
        <f>ROUND(H221-G221, 2)</f>
        <v>0</v>
      </c>
      <c r="J221">
        <f>IF(ABS(I221)&gt;0.01, "Priority 3", "None")</f>
        <v>0</v>
      </c>
    </row>
    <row r="222" spans="1:10">
      <c r="A222" t="s">
        <v>1291</v>
      </c>
      <c r="B222" t="s">
        <v>1071</v>
      </c>
      <c r="C222">
        <v>24</v>
      </c>
      <c r="D222">
        <v>20</v>
      </c>
      <c r="E222">
        <f>MAX(ROUNDUP(D222, 0), C222)</f>
        <v>0</v>
      </c>
      <c r="F222" s="2">
        <v>10.4</v>
      </c>
      <c r="G222" s="2">
        <f>E222*F222</f>
        <v>0</v>
      </c>
      <c r="H222" s="2">
        <v>249.6</v>
      </c>
      <c r="I222" s="2">
        <f>ROUND(H222-G222, 2)</f>
        <v>0</v>
      </c>
      <c r="J222">
        <f>IF(ABS(I222)&gt;0.01, "Priority 3", "None")</f>
        <v>0</v>
      </c>
    </row>
    <row r="223" spans="1:10">
      <c r="A223" t="s">
        <v>1292</v>
      </c>
      <c r="B223" t="s">
        <v>1071</v>
      </c>
      <c r="C223">
        <v>32</v>
      </c>
      <c r="D223">
        <v>53.7</v>
      </c>
      <c r="E223">
        <f>MAX(ROUNDUP(D223, 0), C223)</f>
        <v>0</v>
      </c>
      <c r="F223" s="2">
        <v>10.4</v>
      </c>
      <c r="G223" s="2">
        <f>E223*F223</f>
        <v>0</v>
      </c>
      <c r="H223" s="2">
        <v>561.6</v>
      </c>
      <c r="I223" s="2">
        <f>ROUND(H223-G223, 2)</f>
        <v>0</v>
      </c>
      <c r="J223">
        <f>IF(ABS(I223)&gt;0.01, "Priority 3", "None")</f>
        <v>0</v>
      </c>
    </row>
    <row r="224" spans="1:10">
      <c r="A224" t="s">
        <v>1293</v>
      </c>
      <c r="B224" t="s">
        <v>1071</v>
      </c>
      <c r="C224">
        <v>28</v>
      </c>
      <c r="D224">
        <v>54.9</v>
      </c>
      <c r="E224">
        <f>MAX(ROUNDUP(D224, 0), C224)</f>
        <v>0</v>
      </c>
      <c r="F224" s="2">
        <v>10.4</v>
      </c>
      <c r="G224" s="2">
        <f>E224*F224</f>
        <v>0</v>
      </c>
      <c r="H224" s="2">
        <v>572</v>
      </c>
      <c r="I224" s="2">
        <f>ROUND(H224-G224, 2)</f>
        <v>0</v>
      </c>
      <c r="J224">
        <f>IF(ABS(I224)&gt;0.01, "Priority 3", "None")</f>
        <v>0</v>
      </c>
    </row>
    <row r="225" spans="1:10">
      <c r="A225" t="s">
        <v>1294</v>
      </c>
      <c r="B225" t="s">
        <v>1071</v>
      </c>
      <c r="C225">
        <v>32</v>
      </c>
      <c r="D225">
        <v>23.2</v>
      </c>
      <c r="E225">
        <f>MAX(ROUNDUP(D225, 0), C225)</f>
        <v>0</v>
      </c>
      <c r="F225" s="2">
        <v>10.4</v>
      </c>
      <c r="G225" s="2">
        <f>E225*F225</f>
        <v>0</v>
      </c>
      <c r="H225" s="2">
        <v>332.8</v>
      </c>
      <c r="I225" s="2">
        <f>ROUND(H225-G225, 2)</f>
        <v>0</v>
      </c>
      <c r="J225">
        <f>IF(ABS(I225)&gt;0.01, "Priority 3", "None")</f>
        <v>0</v>
      </c>
    </row>
    <row r="226" spans="1:10">
      <c r="A226" t="s">
        <v>1295</v>
      </c>
      <c r="B226" t="s">
        <v>1071</v>
      </c>
      <c r="C226">
        <v>32</v>
      </c>
      <c r="D226">
        <v>53.6</v>
      </c>
      <c r="E226">
        <f>MAX(ROUNDUP(D226, 0), C226)</f>
        <v>0</v>
      </c>
      <c r="F226" s="2">
        <v>10.4</v>
      </c>
      <c r="G226" s="2">
        <f>E226*F226</f>
        <v>0</v>
      </c>
      <c r="H226" s="2">
        <v>561.6</v>
      </c>
      <c r="I226" s="2">
        <f>ROUND(H226-G226, 2)</f>
        <v>0</v>
      </c>
      <c r="J226">
        <f>IF(ABS(I226)&gt;0.01, "Priority 3", "None")</f>
        <v>0</v>
      </c>
    </row>
    <row r="227" spans="1:10">
      <c r="A227" t="s">
        <v>1296</v>
      </c>
      <c r="B227" t="s">
        <v>1071</v>
      </c>
      <c r="C227">
        <v>36</v>
      </c>
      <c r="D227">
        <v>48.9</v>
      </c>
      <c r="E227">
        <f>MAX(ROUNDUP(D227, 0), C227)</f>
        <v>0</v>
      </c>
      <c r="F227" s="2">
        <v>10.4</v>
      </c>
      <c r="G227" s="2">
        <f>E227*F227</f>
        <v>0</v>
      </c>
      <c r="H227" s="2">
        <v>509.6</v>
      </c>
      <c r="I227" s="2">
        <f>ROUND(H227-G227, 2)</f>
        <v>0</v>
      </c>
      <c r="J227">
        <f>IF(ABS(I227)&gt;0.01, "Priority 3", "None")</f>
        <v>0</v>
      </c>
    </row>
    <row r="228" spans="1:10">
      <c r="A228" t="s">
        <v>1297</v>
      </c>
      <c r="B228" t="s">
        <v>1071</v>
      </c>
      <c r="C228">
        <v>24</v>
      </c>
      <c r="D228">
        <v>18.6</v>
      </c>
      <c r="E228">
        <f>MAX(ROUNDUP(D228, 0), C228)</f>
        <v>0</v>
      </c>
      <c r="F228" s="2">
        <v>10.4</v>
      </c>
      <c r="G228" s="2">
        <f>E228*F228</f>
        <v>0</v>
      </c>
      <c r="H228" s="2">
        <v>249.6</v>
      </c>
      <c r="I228" s="2">
        <f>ROUND(H228-G228, 2)</f>
        <v>0</v>
      </c>
      <c r="J228">
        <f>IF(ABS(I228)&gt;0.01, "Priority 3", "None")</f>
        <v>0</v>
      </c>
    </row>
    <row r="229" spans="1:10">
      <c r="A229" t="s">
        <v>1298</v>
      </c>
      <c r="B229" t="s">
        <v>1071</v>
      </c>
      <c r="C229">
        <v>28</v>
      </c>
      <c r="D229">
        <v>47.6</v>
      </c>
      <c r="E229">
        <f>MAX(ROUNDUP(D229, 0), C229)</f>
        <v>0</v>
      </c>
      <c r="F229" s="2">
        <v>10.4</v>
      </c>
      <c r="G229" s="2">
        <f>E229*F229</f>
        <v>0</v>
      </c>
      <c r="H229" s="2">
        <v>499.2</v>
      </c>
      <c r="I229" s="2">
        <f>ROUND(H229-G229, 2)</f>
        <v>0</v>
      </c>
      <c r="J229">
        <f>IF(ABS(I229)&gt;0.01, "Priority 3", "None")</f>
        <v>0</v>
      </c>
    </row>
    <row r="230" spans="1:10">
      <c r="A230" t="s">
        <v>1299</v>
      </c>
      <c r="B230" t="s">
        <v>1071</v>
      </c>
      <c r="C230">
        <v>32</v>
      </c>
      <c r="D230">
        <v>30.9</v>
      </c>
      <c r="E230">
        <f>MAX(ROUNDUP(D230, 0), C230)</f>
        <v>0</v>
      </c>
      <c r="F230" s="2">
        <v>10.4</v>
      </c>
      <c r="G230" s="2">
        <f>E230*F230</f>
        <v>0</v>
      </c>
      <c r="H230" s="2">
        <v>332.8</v>
      </c>
      <c r="I230" s="2">
        <f>ROUND(H230-G230, 2)</f>
        <v>0</v>
      </c>
      <c r="J230">
        <f>IF(ABS(I230)&gt;0.01, "Priority 3", "None")</f>
        <v>0</v>
      </c>
    </row>
    <row r="231" spans="1:10">
      <c r="A231" t="s">
        <v>1300</v>
      </c>
      <c r="B231" t="s">
        <v>1071</v>
      </c>
      <c r="C231">
        <v>24</v>
      </c>
      <c r="D231">
        <v>29.2</v>
      </c>
      <c r="E231">
        <f>MAX(ROUNDUP(D231, 0), C231)</f>
        <v>0</v>
      </c>
      <c r="F231" s="2">
        <v>10.4</v>
      </c>
      <c r="G231" s="2">
        <f>E231*F231</f>
        <v>0</v>
      </c>
      <c r="H231" s="2">
        <v>312</v>
      </c>
      <c r="I231" s="2">
        <f>ROUND(H231-G231, 2)</f>
        <v>0</v>
      </c>
      <c r="J231">
        <f>IF(ABS(I231)&gt;0.01, "Priority 3", "None")</f>
        <v>0</v>
      </c>
    </row>
    <row r="232" spans="1:10">
      <c r="A232" t="s">
        <v>1301</v>
      </c>
      <c r="B232" t="s">
        <v>1071</v>
      </c>
      <c r="C232">
        <v>24</v>
      </c>
      <c r="D232">
        <v>34.1</v>
      </c>
      <c r="E232">
        <f>MAX(ROUNDUP(D232, 0), C232)</f>
        <v>0</v>
      </c>
      <c r="F232" s="2">
        <v>10.4</v>
      </c>
      <c r="G232" s="2">
        <f>E232*F232</f>
        <v>0</v>
      </c>
      <c r="H232" s="2">
        <v>364</v>
      </c>
      <c r="I232" s="2">
        <f>ROUND(H232-G232, 2)</f>
        <v>0</v>
      </c>
      <c r="J232">
        <f>IF(ABS(I232)&gt;0.01, "Priority 3", "None")</f>
        <v>0</v>
      </c>
    </row>
    <row r="233" spans="1:10">
      <c r="A233" t="s">
        <v>1302</v>
      </c>
      <c r="B233" t="s">
        <v>1071</v>
      </c>
      <c r="C233">
        <v>32</v>
      </c>
      <c r="D233">
        <v>54.5</v>
      </c>
      <c r="E233">
        <f>MAX(ROUNDUP(D233, 0), C233)</f>
        <v>0</v>
      </c>
      <c r="F233" s="2">
        <v>10.4</v>
      </c>
      <c r="G233" s="2">
        <f>E233*F233</f>
        <v>0</v>
      </c>
      <c r="H233" s="2">
        <v>572</v>
      </c>
      <c r="I233" s="2">
        <f>ROUND(H233-G233, 2)</f>
        <v>0</v>
      </c>
      <c r="J233">
        <f>IF(ABS(I233)&gt;0.01, "Priority 3", "None")</f>
        <v>0</v>
      </c>
    </row>
    <row r="234" spans="1:10">
      <c r="A234" t="s">
        <v>1303</v>
      </c>
      <c r="B234" t="s">
        <v>1071</v>
      </c>
      <c r="C234">
        <v>40</v>
      </c>
      <c r="D234">
        <v>34.5</v>
      </c>
      <c r="E234">
        <f>MAX(ROUNDUP(D234, 0), C234)</f>
        <v>0</v>
      </c>
      <c r="F234" s="2">
        <v>10.4</v>
      </c>
      <c r="G234" s="2">
        <f>E234*F234</f>
        <v>0</v>
      </c>
      <c r="H234" s="2">
        <v>416</v>
      </c>
      <c r="I234" s="2">
        <f>ROUND(H234-G234, 2)</f>
        <v>0</v>
      </c>
      <c r="J234">
        <f>IF(ABS(I234)&gt;0.01, "Priority 3", "None")</f>
        <v>0</v>
      </c>
    </row>
    <row r="235" spans="1:10">
      <c r="A235" t="s">
        <v>1304</v>
      </c>
      <c r="B235" t="s">
        <v>1071</v>
      </c>
      <c r="C235">
        <v>24</v>
      </c>
      <c r="D235">
        <v>18</v>
      </c>
      <c r="E235">
        <f>MAX(ROUNDUP(D235, 0), C235)</f>
        <v>0</v>
      </c>
      <c r="F235" s="2">
        <v>10.4</v>
      </c>
      <c r="G235" s="2">
        <f>E235*F235</f>
        <v>0</v>
      </c>
      <c r="H235" s="2">
        <v>249.6</v>
      </c>
      <c r="I235" s="2">
        <f>ROUND(H235-G235, 2)</f>
        <v>0</v>
      </c>
      <c r="J235">
        <f>IF(ABS(I235)&gt;0.01, "Priority 3", "None")</f>
        <v>0</v>
      </c>
    </row>
    <row r="236" spans="1:10">
      <c r="A236" t="s">
        <v>1305</v>
      </c>
      <c r="B236" t="s">
        <v>1071</v>
      </c>
      <c r="C236">
        <v>32</v>
      </c>
      <c r="D236">
        <v>21.4</v>
      </c>
      <c r="E236">
        <f>MAX(ROUNDUP(D236, 0), C236)</f>
        <v>0</v>
      </c>
      <c r="F236" s="2">
        <v>10.4</v>
      </c>
      <c r="G236" s="2">
        <f>E236*F236</f>
        <v>0</v>
      </c>
      <c r="H236" s="2">
        <v>332.8</v>
      </c>
      <c r="I236" s="2">
        <f>ROUND(H236-G236, 2)</f>
        <v>0</v>
      </c>
      <c r="J236">
        <f>IF(ABS(I236)&gt;0.01, "Priority 3", "None")</f>
        <v>0</v>
      </c>
    </row>
    <row r="237" spans="1:10">
      <c r="A237" t="s">
        <v>1306</v>
      </c>
      <c r="B237" t="s">
        <v>1071</v>
      </c>
      <c r="C237">
        <v>28</v>
      </c>
      <c r="D237">
        <v>58.7</v>
      </c>
      <c r="E237">
        <f>MAX(ROUNDUP(D237, 0), C237)</f>
        <v>0</v>
      </c>
      <c r="F237" s="2">
        <v>10.4</v>
      </c>
      <c r="G237" s="2">
        <f>E237*F237</f>
        <v>0</v>
      </c>
      <c r="H237" s="2">
        <v>613.6</v>
      </c>
      <c r="I237" s="2">
        <f>ROUND(H237-G237, 2)</f>
        <v>0</v>
      </c>
      <c r="J237">
        <f>IF(ABS(I237)&gt;0.01, "Priority 3", "None")</f>
        <v>0</v>
      </c>
    </row>
    <row r="238" spans="1:10">
      <c r="A238" t="s">
        <v>1307</v>
      </c>
      <c r="B238" t="s">
        <v>1071</v>
      </c>
      <c r="C238">
        <v>28</v>
      </c>
      <c r="D238">
        <v>36.8</v>
      </c>
      <c r="E238">
        <f>MAX(ROUNDUP(D238, 0), C238)</f>
        <v>0</v>
      </c>
      <c r="F238" s="2">
        <v>10.4</v>
      </c>
      <c r="G238" s="2">
        <f>E238*F238</f>
        <v>0</v>
      </c>
      <c r="H238" s="2">
        <v>384.8</v>
      </c>
      <c r="I238" s="2">
        <f>ROUND(H238-G238, 2)</f>
        <v>0</v>
      </c>
      <c r="J238">
        <f>IF(ABS(I238)&gt;0.01, "Priority 3", "None")</f>
        <v>0</v>
      </c>
    </row>
    <row r="239" spans="1:10">
      <c r="A239" t="s">
        <v>1308</v>
      </c>
      <c r="B239" t="s">
        <v>1071</v>
      </c>
      <c r="C239">
        <v>24</v>
      </c>
      <c r="D239">
        <v>62</v>
      </c>
      <c r="E239">
        <f>MAX(ROUNDUP(D239, 0), C239)</f>
        <v>0</v>
      </c>
      <c r="F239" s="2">
        <v>10.4</v>
      </c>
      <c r="G239" s="2">
        <f>E239*F239</f>
        <v>0</v>
      </c>
      <c r="H239" s="2">
        <v>644.8</v>
      </c>
      <c r="I239" s="2">
        <f>ROUND(H239-G239, 2)</f>
        <v>0</v>
      </c>
      <c r="J239">
        <f>IF(ABS(I239)&gt;0.01, "Priority 3", "None")</f>
        <v>0</v>
      </c>
    </row>
    <row r="240" spans="1:10">
      <c r="A240" t="s">
        <v>1309</v>
      </c>
      <c r="B240" t="s">
        <v>1071</v>
      </c>
      <c r="C240">
        <v>24</v>
      </c>
      <c r="D240">
        <v>59.8</v>
      </c>
      <c r="E240">
        <f>MAX(ROUNDUP(D240, 0), C240)</f>
        <v>0</v>
      </c>
      <c r="F240" s="2">
        <v>10.4</v>
      </c>
      <c r="G240" s="2">
        <f>E240*F240</f>
        <v>0</v>
      </c>
      <c r="H240" s="2">
        <v>624</v>
      </c>
      <c r="I240" s="2">
        <f>ROUND(H240-G240, 2)</f>
        <v>0</v>
      </c>
      <c r="J240">
        <f>IF(ABS(I240)&gt;0.01, "Priority 3", "None")</f>
        <v>0</v>
      </c>
    </row>
    <row r="241" spans="1:10">
      <c r="A241" t="s">
        <v>1310</v>
      </c>
      <c r="B241" t="s">
        <v>1071</v>
      </c>
      <c r="C241">
        <v>32</v>
      </c>
      <c r="D241">
        <v>41.3</v>
      </c>
      <c r="E241">
        <f>MAX(ROUNDUP(D241, 0), C241)</f>
        <v>0</v>
      </c>
      <c r="F241" s="2">
        <v>10.4</v>
      </c>
      <c r="G241" s="2">
        <f>E241*F241</f>
        <v>0</v>
      </c>
      <c r="H241" s="2">
        <v>436.8</v>
      </c>
      <c r="I241" s="2">
        <f>ROUND(H241-G241, 2)</f>
        <v>0</v>
      </c>
      <c r="J241">
        <f>IF(ABS(I241)&gt;0.01, "Priority 3", "None")</f>
        <v>0</v>
      </c>
    </row>
    <row r="242" spans="1:10">
      <c r="A242" t="s">
        <v>1311</v>
      </c>
      <c r="B242" t="s">
        <v>1071</v>
      </c>
      <c r="C242">
        <v>32</v>
      </c>
      <c r="D242">
        <v>24.1</v>
      </c>
      <c r="E242">
        <f>MAX(ROUNDUP(D242, 0), C242)</f>
        <v>0</v>
      </c>
      <c r="F242" s="2">
        <v>10.4</v>
      </c>
      <c r="G242" s="2">
        <f>E242*F242</f>
        <v>0</v>
      </c>
      <c r="H242" s="2">
        <v>332.8</v>
      </c>
      <c r="I242" s="2">
        <f>ROUND(H242-G242, 2)</f>
        <v>0</v>
      </c>
      <c r="J242">
        <f>IF(ABS(I242)&gt;0.01, "Priority 3", "None")</f>
        <v>0</v>
      </c>
    </row>
    <row r="243" spans="1:10">
      <c r="A243" t="s">
        <v>1312</v>
      </c>
      <c r="B243" t="s">
        <v>1313</v>
      </c>
      <c r="C243">
        <v>36</v>
      </c>
      <c r="D243">
        <v>61</v>
      </c>
      <c r="E243">
        <f>MAX(ROUNDUP(D243, 0), C243)</f>
        <v>0</v>
      </c>
      <c r="F243" s="2">
        <v>10.4</v>
      </c>
      <c r="G243" s="2">
        <f>E243*F243</f>
        <v>0</v>
      </c>
      <c r="H243" s="2">
        <v>634.4</v>
      </c>
      <c r="I243" s="2">
        <f>ROUND(H243-G243, 2)</f>
        <v>0</v>
      </c>
      <c r="J243">
        <f>IF(ABS(I243)&gt;0.01, "Priority 3", "None")</f>
        <v>0</v>
      </c>
    </row>
    <row r="244" spans="1:10">
      <c r="A244" t="s">
        <v>1314</v>
      </c>
      <c r="B244" t="s">
        <v>1313</v>
      </c>
      <c r="C244">
        <v>24</v>
      </c>
      <c r="D244">
        <v>33.2</v>
      </c>
      <c r="E244">
        <f>MAX(ROUNDUP(D244, 0), C244)</f>
        <v>0</v>
      </c>
      <c r="F244" s="2">
        <v>10.4</v>
      </c>
      <c r="G244" s="2">
        <f>E244*F244</f>
        <v>0</v>
      </c>
      <c r="H244" s="2">
        <v>353.6</v>
      </c>
      <c r="I244" s="2">
        <f>ROUND(H244-G244, 2)</f>
        <v>0</v>
      </c>
      <c r="J244">
        <f>IF(ABS(I244)&gt;0.01, "Priority 3", "None")</f>
        <v>0</v>
      </c>
    </row>
    <row r="245" spans="1:10">
      <c r="A245" t="s">
        <v>1315</v>
      </c>
      <c r="B245" t="s">
        <v>1313</v>
      </c>
      <c r="C245">
        <v>24</v>
      </c>
      <c r="D245">
        <v>38.9</v>
      </c>
      <c r="E245">
        <f>MAX(ROUNDUP(D245, 0), C245)</f>
        <v>0</v>
      </c>
      <c r="F245" s="2">
        <v>10.4</v>
      </c>
      <c r="G245" s="2">
        <f>E245*F245</f>
        <v>0</v>
      </c>
      <c r="H245" s="2">
        <v>405.6</v>
      </c>
      <c r="I245" s="2">
        <f>ROUND(H245-G245, 2)</f>
        <v>0</v>
      </c>
      <c r="J245">
        <f>IF(ABS(I245)&gt;0.01, "Priority 3", "None")</f>
        <v>0</v>
      </c>
    </row>
    <row r="246" spans="1:10">
      <c r="A246" t="s">
        <v>1316</v>
      </c>
      <c r="B246" t="s">
        <v>1313</v>
      </c>
      <c r="C246">
        <v>40</v>
      </c>
      <c r="D246">
        <v>53.9</v>
      </c>
      <c r="E246">
        <f>MAX(ROUNDUP(D246, 0), C246)</f>
        <v>0</v>
      </c>
      <c r="F246" s="2">
        <v>10.4</v>
      </c>
      <c r="G246" s="2">
        <f>E246*F246</f>
        <v>0</v>
      </c>
      <c r="H246" s="2">
        <v>561.6</v>
      </c>
      <c r="I246" s="2">
        <f>ROUND(H246-G246, 2)</f>
        <v>0</v>
      </c>
      <c r="J246">
        <f>IF(ABS(I246)&gt;0.01, "Priority 3", "None")</f>
        <v>0</v>
      </c>
    </row>
    <row r="247" spans="1:10">
      <c r="A247" t="s">
        <v>1317</v>
      </c>
      <c r="B247" t="s">
        <v>1313</v>
      </c>
      <c r="C247">
        <v>24</v>
      </c>
      <c r="D247">
        <v>48.2</v>
      </c>
      <c r="E247">
        <f>MAX(ROUNDUP(D247, 0), C247)</f>
        <v>0</v>
      </c>
      <c r="F247" s="2">
        <v>10.4</v>
      </c>
      <c r="G247" s="2">
        <f>E247*F247</f>
        <v>0</v>
      </c>
      <c r="H247" s="2">
        <v>509.6</v>
      </c>
      <c r="I247" s="2">
        <f>ROUND(H247-G247, 2)</f>
        <v>0</v>
      </c>
      <c r="J247">
        <f>IF(ABS(I247)&gt;0.01, "Priority 3", "None")</f>
        <v>0</v>
      </c>
    </row>
    <row r="248" spans="1:10">
      <c r="A248" t="s">
        <v>1318</v>
      </c>
      <c r="B248" t="s">
        <v>1313</v>
      </c>
      <c r="C248">
        <v>24</v>
      </c>
      <c r="D248">
        <v>35.5</v>
      </c>
      <c r="E248">
        <f>MAX(ROUNDUP(D248, 0), C248)</f>
        <v>0</v>
      </c>
      <c r="F248" s="2">
        <v>10.4</v>
      </c>
      <c r="G248" s="2">
        <f>E248*F248</f>
        <v>0</v>
      </c>
      <c r="H248" s="2">
        <v>374.4</v>
      </c>
      <c r="I248" s="2">
        <f>ROUND(H248-G248, 2)</f>
        <v>0</v>
      </c>
      <c r="J248">
        <f>IF(ABS(I248)&gt;0.01, "Priority 3", "None")</f>
        <v>0</v>
      </c>
    </row>
    <row r="249" spans="1:10">
      <c r="A249" t="s">
        <v>1319</v>
      </c>
      <c r="B249" t="s">
        <v>1313</v>
      </c>
      <c r="C249">
        <v>32</v>
      </c>
      <c r="D249">
        <v>29.7</v>
      </c>
      <c r="E249">
        <f>MAX(ROUNDUP(D249, 0), C249)</f>
        <v>0</v>
      </c>
      <c r="F249" s="2">
        <v>10.4</v>
      </c>
      <c r="G249" s="2">
        <f>E249*F249</f>
        <v>0</v>
      </c>
      <c r="H249" s="2">
        <v>332.8</v>
      </c>
      <c r="I249" s="2">
        <f>ROUND(H249-G249, 2)</f>
        <v>0</v>
      </c>
      <c r="J249">
        <f>IF(ABS(I249)&gt;0.01, "Priority 3", "None")</f>
        <v>0</v>
      </c>
    </row>
    <row r="250" spans="1:10">
      <c r="A250" t="s">
        <v>1320</v>
      </c>
      <c r="B250" t="s">
        <v>1313</v>
      </c>
      <c r="C250">
        <v>28</v>
      </c>
      <c r="D250">
        <v>30.9</v>
      </c>
      <c r="E250">
        <f>MAX(ROUNDUP(D250, 0), C250)</f>
        <v>0</v>
      </c>
      <c r="F250" s="2">
        <v>10.4</v>
      </c>
      <c r="G250" s="2">
        <f>E250*F250</f>
        <v>0</v>
      </c>
      <c r="H250" s="2">
        <v>322.4</v>
      </c>
      <c r="I250" s="2">
        <f>ROUND(H250-G250, 2)</f>
        <v>0</v>
      </c>
      <c r="J250">
        <f>IF(ABS(I250)&gt;0.01, "Priority 3", "None")</f>
        <v>0</v>
      </c>
    </row>
    <row r="251" spans="1:10">
      <c r="A251" t="s">
        <v>1321</v>
      </c>
      <c r="B251" t="s">
        <v>1313</v>
      </c>
      <c r="C251">
        <v>24</v>
      </c>
      <c r="D251">
        <v>52</v>
      </c>
      <c r="E251">
        <f>MAX(ROUNDUP(D251, 0), C251)</f>
        <v>0</v>
      </c>
      <c r="F251" s="2">
        <v>10.4</v>
      </c>
      <c r="G251" s="2">
        <f>E251*F251</f>
        <v>0</v>
      </c>
      <c r="H251" s="2">
        <v>540.8</v>
      </c>
      <c r="I251" s="2">
        <f>ROUND(H251-G251, 2)</f>
        <v>0</v>
      </c>
      <c r="J251">
        <f>IF(ABS(I251)&gt;0.01, "Priority 3", "None")</f>
        <v>0</v>
      </c>
    </row>
    <row r="252" spans="1:10">
      <c r="A252" t="s">
        <v>1322</v>
      </c>
      <c r="B252" t="s">
        <v>1313</v>
      </c>
      <c r="C252">
        <v>32</v>
      </c>
      <c r="D252">
        <v>39</v>
      </c>
      <c r="E252">
        <f>MAX(ROUNDUP(D252, 0), C252)</f>
        <v>0</v>
      </c>
      <c r="F252" s="2">
        <v>10.4</v>
      </c>
      <c r="G252" s="2">
        <f>E252*F252</f>
        <v>0</v>
      </c>
      <c r="H252" s="2">
        <v>405.6</v>
      </c>
      <c r="I252" s="2">
        <f>ROUND(H252-G252, 2)</f>
        <v>0</v>
      </c>
      <c r="J252">
        <f>IF(ABS(I252)&gt;0.01, "Priority 3", "None")</f>
        <v>0</v>
      </c>
    </row>
    <row r="253" spans="1:10">
      <c r="A253" t="s">
        <v>1323</v>
      </c>
      <c r="B253" t="s">
        <v>1313</v>
      </c>
      <c r="C253">
        <v>36</v>
      </c>
      <c r="D253">
        <v>53</v>
      </c>
      <c r="E253">
        <f>MAX(ROUNDUP(D253, 0), C253)</f>
        <v>0</v>
      </c>
      <c r="F253" s="2">
        <v>10.4</v>
      </c>
      <c r="G253" s="2">
        <f>E253*F253</f>
        <v>0</v>
      </c>
      <c r="H253" s="2">
        <v>551.2</v>
      </c>
      <c r="I253" s="2">
        <f>ROUND(H253-G253, 2)</f>
        <v>0</v>
      </c>
      <c r="J253">
        <f>IF(ABS(I253)&gt;0.01, "Priority 3", "None")</f>
        <v>0</v>
      </c>
    </row>
    <row r="254" spans="1:10">
      <c r="A254" t="s">
        <v>1324</v>
      </c>
      <c r="B254" t="s">
        <v>1313</v>
      </c>
      <c r="C254">
        <v>28</v>
      </c>
      <c r="D254">
        <v>24.8</v>
      </c>
      <c r="E254">
        <f>MAX(ROUNDUP(D254, 0), C254)</f>
        <v>0</v>
      </c>
      <c r="F254" s="2">
        <v>10.4</v>
      </c>
      <c r="G254" s="2">
        <f>E254*F254</f>
        <v>0</v>
      </c>
      <c r="H254" s="2">
        <v>291.2</v>
      </c>
      <c r="I254" s="2">
        <f>ROUND(H254-G254, 2)</f>
        <v>0</v>
      </c>
      <c r="J254">
        <f>IF(ABS(I254)&gt;0.01, "Priority 3", "None")</f>
        <v>0</v>
      </c>
    </row>
    <row r="255" spans="1:10">
      <c r="A255" t="s">
        <v>1325</v>
      </c>
      <c r="B255" t="s">
        <v>1313</v>
      </c>
      <c r="C255">
        <v>28</v>
      </c>
      <c r="D255">
        <v>40.2</v>
      </c>
      <c r="E255">
        <f>MAX(ROUNDUP(D255, 0), C255)</f>
        <v>0</v>
      </c>
      <c r="F255" s="2">
        <v>10.4</v>
      </c>
      <c r="G255" s="2">
        <f>E255*F255</f>
        <v>0</v>
      </c>
      <c r="H255" s="2">
        <v>426.4</v>
      </c>
      <c r="I255" s="2">
        <f>ROUND(H255-G255, 2)</f>
        <v>0</v>
      </c>
      <c r="J255">
        <f>IF(ABS(I255)&gt;0.01, "Priority 3", "None")</f>
        <v>0</v>
      </c>
    </row>
    <row r="256" spans="1:10">
      <c r="A256" t="s">
        <v>1326</v>
      </c>
      <c r="B256" t="s">
        <v>1313</v>
      </c>
      <c r="C256">
        <v>24</v>
      </c>
      <c r="D256">
        <v>32</v>
      </c>
      <c r="E256">
        <f>MAX(ROUNDUP(D256, 0), C256)</f>
        <v>0</v>
      </c>
      <c r="F256" s="2">
        <v>10.4</v>
      </c>
      <c r="G256" s="2">
        <f>E256*F256</f>
        <v>0</v>
      </c>
      <c r="H256" s="2">
        <v>332.8</v>
      </c>
      <c r="I256" s="2">
        <f>ROUND(H256-G256, 2)</f>
        <v>0</v>
      </c>
      <c r="J256">
        <f>IF(ABS(I256)&gt;0.01, "Priority 3", "None")</f>
        <v>0</v>
      </c>
    </row>
    <row r="257" spans="1:10">
      <c r="A257" t="s">
        <v>1327</v>
      </c>
      <c r="B257" t="s">
        <v>1313</v>
      </c>
      <c r="C257">
        <v>36</v>
      </c>
      <c r="D257">
        <v>54.6</v>
      </c>
      <c r="E257">
        <f>MAX(ROUNDUP(D257, 0), C257)</f>
        <v>0</v>
      </c>
      <c r="F257" s="2">
        <v>10.4</v>
      </c>
      <c r="G257" s="2">
        <f>E257*F257</f>
        <v>0</v>
      </c>
      <c r="H257" s="2">
        <v>572</v>
      </c>
      <c r="I257" s="2">
        <f>ROUND(H257-G257, 2)</f>
        <v>0</v>
      </c>
      <c r="J257">
        <f>IF(ABS(I257)&gt;0.01, "Priority 3", "None")</f>
        <v>0</v>
      </c>
    </row>
    <row r="258" spans="1:10">
      <c r="A258" t="s">
        <v>1328</v>
      </c>
      <c r="B258" t="s">
        <v>1313</v>
      </c>
      <c r="C258">
        <v>32</v>
      </c>
      <c r="D258">
        <v>53.2</v>
      </c>
      <c r="E258">
        <f>MAX(ROUNDUP(D258, 0), C258)</f>
        <v>0</v>
      </c>
      <c r="F258" s="2">
        <v>10.4</v>
      </c>
      <c r="G258" s="2">
        <f>E258*F258</f>
        <v>0</v>
      </c>
      <c r="H258" s="2">
        <v>561.6</v>
      </c>
      <c r="I258" s="2">
        <f>ROUND(H258-G258, 2)</f>
        <v>0</v>
      </c>
      <c r="J258">
        <f>IF(ABS(I258)&gt;0.01, "Priority 3", "None")</f>
        <v>0</v>
      </c>
    </row>
    <row r="259" spans="1:10">
      <c r="A259" t="s">
        <v>1329</v>
      </c>
      <c r="B259" t="s">
        <v>1313</v>
      </c>
      <c r="C259">
        <v>24</v>
      </c>
      <c r="D259">
        <v>44</v>
      </c>
      <c r="E259">
        <f>MAX(ROUNDUP(D259, 0), C259)</f>
        <v>0</v>
      </c>
      <c r="F259" s="2">
        <v>10.4</v>
      </c>
      <c r="G259" s="2">
        <f>E259*F259</f>
        <v>0</v>
      </c>
      <c r="H259" s="2">
        <v>457.6</v>
      </c>
      <c r="I259" s="2">
        <f>ROUND(H259-G259, 2)</f>
        <v>0</v>
      </c>
      <c r="J259">
        <f>IF(ABS(I259)&gt;0.01, "Priority 3", "None")</f>
        <v>0</v>
      </c>
    </row>
    <row r="260" spans="1:10">
      <c r="A260" t="s">
        <v>1330</v>
      </c>
      <c r="B260" t="s">
        <v>1313</v>
      </c>
      <c r="C260">
        <v>32</v>
      </c>
      <c r="D260">
        <v>61.3</v>
      </c>
      <c r="E260">
        <f>MAX(ROUNDUP(D260, 0), C260)</f>
        <v>0</v>
      </c>
      <c r="F260" s="2">
        <v>10.4</v>
      </c>
      <c r="G260" s="2">
        <f>E260*F260</f>
        <v>0</v>
      </c>
      <c r="H260" s="2">
        <v>644.8</v>
      </c>
      <c r="I260" s="2">
        <f>ROUND(H260-G260, 2)</f>
        <v>0</v>
      </c>
      <c r="J260">
        <f>IF(ABS(I260)&gt;0.01, "Priority 3", "None")</f>
        <v>0</v>
      </c>
    </row>
    <row r="261" spans="1:10">
      <c r="A261" t="s">
        <v>1331</v>
      </c>
      <c r="B261" t="s">
        <v>1313</v>
      </c>
      <c r="C261">
        <v>28</v>
      </c>
      <c r="D261">
        <v>47.6</v>
      </c>
      <c r="E261">
        <f>MAX(ROUNDUP(D261, 0), C261)</f>
        <v>0</v>
      </c>
      <c r="F261" s="2">
        <v>10.4</v>
      </c>
      <c r="G261" s="2">
        <f>E261*F261</f>
        <v>0</v>
      </c>
      <c r="H261" s="2">
        <v>499.2</v>
      </c>
      <c r="I261" s="2">
        <f>ROUND(H261-G261, 2)</f>
        <v>0</v>
      </c>
      <c r="J261">
        <f>IF(ABS(I261)&gt;0.01, "Priority 3", "None")</f>
        <v>0</v>
      </c>
    </row>
    <row r="262" spans="1:10">
      <c r="A262" t="s">
        <v>1332</v>
      </c>
      <c r="B262" t="s">
        <v>1313</v>
      </c>
      <c r="C262">
        <v>32</v>
      </c>
      <c r="D262">
        <v>56.3</v>
      </c>
      <c r="E262">
        <f>MAX(ROUNDUP(D262, 0), C262)</f>
        <v>0</v>
      </c>
      <c r="F262" s="2">
        <v>10.4</v>
      </c>
      <c r="G262" s="2">
        <f>E262*F262</f>
        <v>0</v>
      </c>
      <c r="H262" s="2">
        <v>592.8</v>
      </c>
      <c r="I262" s="2">
        <f>ROUND(H262-G262, 2)</f>
        <v>0</v>
      </c>
      <c r="J262">
        <f>IF(ABS(I262)&gt;0.01, "Priority 3", "None")</f>
        <v>0</v>
      </c>
    </row>
    <row r="263" spans="1:10">
      <c r="A263" t="s">
        <v>1333</v>
      </c>
      <c r="B263" t="s">
        <v>1313</v>
      </c>
      <c r="C263">
        <v>40</v>
      </c>
      <c r="D263">
        <v>31.4</v>
      </c>
      <c r="E263">
        <f>MAX(ROUNDUP(D263, 0), C263)</f>
        <v>0</v>
      </c>
      <c r="F263" s="2">
        <v>10.4</v>
      </c>
      <c r="G263" s="2">
        <f>E263*F263</f>
        <v>0</v>
      </c>
      <c r="H263" s="2">
        <v>416</v>
      </c>
      <c r="I263" s="2">
        <f>ROUND(H263-G263, 2)</f>
        <v>0</v>
      </c>
      <c r="J263">
        <f>IF(ABS(I263)&gt;0.01, "Priority 3", "None")</f>
        <v>0</v>
      </c>
    </row>
    <row r="264" spans="1:10">
      <c r="A264" t="s">
        <v>1334</v>
      </c>
      <c r="B264" t="s">
        <v>1313</v>
      </c>
      <c r="C264">
        <v>36</v>
      </c>
      <c r="D264">
        <v>58.8</v>
      </c>
      <c r="E264">
        <f>MAX(ROUNDUP(D264, 0), C264)</f>
        <v>0</v>
      </c>
      <c r="F264" s="2">
        <v>10.4</v>
      </c>
      <c r="G264" s="2">
        <f>E264*F264</f>
        <v>0</v>
      </c>
      <c r="H264" s="2">
        <v>613.6</v>
      </c>
      <c r="I264" s="2">
        <f>ROUND(H264-G264, 2)</f>
        <v>0</v>
      </c>
      <c r="J264">
        <f>IF(ABS(I264)&gt;0.01, "Priority 3", "None")</f>
        <v>0</v>
      </c>
    </row>
    <row r="265" spans="1:10">
      <c r="A265" t="s">
        <v>1335</v>
      </c>
      <c r="B265" t="s">
        <v>1313</v>
      </c>
      <c r="C265">
        <v>32</v>
      </c>
      <c r="D265">
        <v>46.9</v>
      </c>
      <c r="E265">
        <f>MAX(ROUNDUP(D265, 0), C265)</f>
        <v>0</v>
      </c>
      <c r="F265" s="2">
        <v>10.4</v>
      </c>
      <c r="G265" s="2">
        <f>E265*F265</f>
        <v>0</v>
      </c>
      <c r="H265" s="2">
        <v>488.8</v>
      </c>
      <c r="I265" s="2">
        <f>ROUND(H265-G265, 2)</f>
        <v>0</v>
      </c>
      <c r="J265">
        <f>IF(ABS(I265)&gt;0.01, "Priority 3", "None")</f>
        <v>0</v>
      </c>
    </row>
    <row r="266" spans="1:10">
      <c r="A266" t="s">
        <v>1336</v>
      </c>
      <c r="B266" t="s">
        <v>1313</v>
      </c>
      <c r="C266">
        <v>32</v>
      </c>
      <c r="D266">
        <v>42.3</v>
      </c>
      <c r="E266">
        <f>MAX(ROUNDUP(D266, 0), C266)</f>
        <v>0</v>
      </c>
      <c r="F266" s="2">
        <v>10.4</v>
      </c>
      <c r="G266" s="2">
        <f>E266*F266</f>
        <v>0</v>
      </c>
      <c r="H266" s="2">
        <v>447.2</v>
      </c>
      <c r="I266" s="2">
        <f>ROUND(H266-G266, 2)</f>
        <v>0</v>
      </c>
      <c r="J266">
        <f>IF(ABS(I266)&gt;0.01, "Priority 3", "None")</f>
        <v>0</v>
      </c>
    </row>
    <row r="267" spans="1:10">
      <c r="A267" t="s">
        <v>1337</v>
      </c>
      <c r="B267" t="s">
        <v>1313</v>
      </c>
      <c r="C267">
        <v>40</v>
      </c>
      <c r="D267">
        <v>27.2</v>
      </c>
      <c r="E267">
        <f>MAX(ROUNDUP(D267, 0), C267)</f>
        <v>0</v>
      </c>
      <c r="F267" s="2">
        <v>10.4</v>
      </c>
      <c r="G267" s="2">
        <f>E267*F267</f>
        <v>0</v>
      </c>
      <c r="H267" s="2">
        <v>416</v>
      </c>
      <c r="I267" s="2">
        <f>ROUND(H267-G267, 2)</f>
        <v>0</v>
      </c>
      <c r="J267">
        <f>IF(ABS(I267)&gt;0.01, "Priority 3", "None")</f>
        <v>0</v>
      </c>
    </row>
    <row r="268" spans="1:10">
      <c r="A268" t="s">
        <v>1338</v>
      </c>
      <c r="B268" t="s">
        <v>1313</v>
      </c>
      <c r="C268">
        <v>32</v>
      </c>
      <c r="D268">
        <v>36</v>
      </c>
      <c r="E268">
        <f>MAX(ROUNDUP(D268, 0), C268)</f>
        <v>0</v>
      </c>
      <c r="F268" s="2">
        <v>10.4</v>
      </c>
      <c r="G268" s="2">
        <f>E268*F268</f>
        <v>0</v>
      </c>
      <c r="H268" s="2">
        <v>374.4</v>
      </c>
      <c r="I268" s="2">
        <f>ROUND(H268-G268, 2)</f>
        <v>0</v>
      </c>
      <c r="J268">
        <f>IF(ABS(I268)&gt;0.01, "Priority 3", "None")</f>
        <v>0</v>
      </c>
    </row>
    <row r="269" spans="1:10">
      <c r="A269" t="s">
        <v>1339</v>
      </c>
      <c r="B269" t="s">
        <v>1313</v>
      </c>
      <c r="C269">
        <v>40</v>
      </c>
      <c r="D269">
        <v>41.7</v>
      </c>
      <c r="E269">
        <f>MAX(ROUNDUP(D269, 0), C269)</f>
        <v>0</v>
      </c>
      <c r="F269" s="2">
        <v>10.4</v>
      </c>
      <c r="G269" s="2">
        <f>E269*F269</f>
        <v>0</v>
      </c>
      <c r="H269" s="2">
        <v>436.8</v>
      </c>
      <c r="I269" s="2">
        <f>ROUND(H269-G269, 2)</f>
        <v>0</v>
      </c>
      <c r="J269">
        <f>IF(ABS(I269)&gt;0.01, "Priority 3", "None")</f>
        <v>0</v>
      </c>
    </row>
    <row r="270" spans="1:10">
      <c r="A270" t="s">
        <v>1340</v>
      </c>
      <c r="B270" t="s">
        <v>1313</v>
      </c>
      <c r="C270">
        <v>28</v>
      </c>
      <c r="D270">
        <v>34.3</v>
      </c>
      <c r="E270">
        <f>MAX(ROUNDUP(D270, 0), C270)</f>
        <v>0</v>
      </c>
      <c r="F270" s="2">
        <v>10.4</v>
      </c>
      <c r="G270" s="2">
        <f>E270*F270</f>
        <v>0</v>
      </c>
      <c r="H270" s="2">
        <v>364</v>
      </c>
      <c r="I270" s="2">
        <f>ROUND(H270-G270, 2)</f>
        <v>0</v>
      </c>
      <c r="J270">
        <f>IF(ABS(I270)&gt;0.01, "Priority 3", "None")</f>
        <v>0</v>
      </c>
    </row>
    <row r="271" spans="1:10">
      <c r="A271" t="s">
        <v>1341</v>
      </c>
      <c r="B271" t="s">
        <v>1313</v>
      </c>
      <c r="C271">
        <v>28</v>
      </c>
      <c r="D271">
        <v>22.5</v>
      </c>
      <c r="E271">
        <f>MAX(ROUNDUP(D271, 0), C271)</f>
        <v>0</v>
      </c>
      <c r="F271" s="2">
        <v>10.4</v>
      </c>
      <c r="G271" s="2">
        <f>E271*F271</f>
        <v>0</v>
      </c>
      <c r="H271" s="2">
        <v>291.2</v>
      </c>
      <c r="I271" s="2">
        <f>ROUND(H271-G271, 2)</f>
        <v>0</v>
      </c>
      <c r="J271">
        <f>IF(ABS(I271)&gt;0.01, "Priority 3", "None")</f>
        <v>0</v>
      </c>
    </row>
    <row r="272" spans="1:10">
      <c r="A272" t="s">
        <v>1342</v>
      </c>
      <c r="B272" t="s">
        <v>1313</v>
      </c>
      <c r="C272">
        <v>24</v>
      </c>
      <c r="D272">
        <v>49.1</v>
      </c>
      <c r="E272">
        <f>MAX(ROUNDUP(D272, 0), C272)</f>
        <v>0</v>
      </c>
      <c r="F272" s="2">
        <v>10.4</v>
      </c>
      <c r="G272" s="2">
        <f>E272*F272</f>
        <v>0</v>
      </c>
      <c r="H272" s="2">
        <v>520</v>
      </c>
      <c r="I272" s="2">
        <f>ROUND(H272-G272, 2)</f>
        <v>0</v>
      </c>
      <c r="J272">
        <f>IF(ABS(I272)&gt;0.01, "Priority 3", "None")</f>
        <v>0</v>
      </c>
    </row>
    <row r="273" spans="1:10">
      <c r="A273" t="s">
        <v>1343</v>
      </c>
      <c r="B273" t="s">
        <v>1313</v>
      </c>
      <c r="C273">
        <v>40</v>
      </c>
      <c r="D273">
        <v>21.8</v>
      </c>
      <c r="E273">
        <f>MAX(ROUNDUP(D273, 0), C273)</f>
        <v>0</v>
      </c>
      <c r="F273" s="2">
        <v>10.4</v>
      </c>
      <c r="G273" s="2">
        <f>E273*F273</f>
        <v>0</v>
      </c>
      <c r="H273" s="2">
        <v>416</v>
      </c>
      <c r="I273" s="2">
        <f>ROUND(H273-G273, 2)</f>
        <v>0</v>
      </c>
      <c r="J273">
        <f>IF(ABS(I273)&gt;0.01, "Priority 3", "None")</f>
        <v>0</v>
      </c>
    </row>
    <row r="274" spans="1:10">
      <c r="A274" t="s">
        <v>1344</v>
      </c>
      <c r="B274" t="s">
        <v>1313</v>
      </c>
      <c r="C274">
        <v>32</v>
      </c>
      <c r="D274">
        <v>38.1</v>
      </c>
      <c r="E274">
        <f>MAX(ROUNDUP(D274, 0), C274)</f>
        <v>0</v>
      </c>
      <c r="F274" s="2">
        <v>10.4</v>
      </c>
      <c r="G274" s="2">
        <f>E274*F274</f>
        <v>0</v>
      </c>
      <c r="H274" s="2">
        <v>405.6</v>
      </c>
      <c r="I274" s="2">
        <f>ROUND(H274-G274, 2)</f>
        <v>0</v>
      </c>
      <c r="J274">
        <f>IF(ABS(I274)&gt;0.01, "Priority 3", "None")</f>
        <v>0</v>
      </c>
    </row>
    <row r="275" spans="1:10">
      <c r="A275" t="s">
        <v>1345</v>
      </c>
      <c r="B275" t="s">
        <v>1313</v>
      </c>
      <c r="C275">
        <v>28</v>
      </c>
      <c r="D275">
        <v>20.9</v>
      </c>
      <c r="E275">
        <f>MAX(ROUNDUP(D275, 0), C275)</f>
        <v>0</v>
      </c>
      <c r="F275" s="2">
        <v>10.4</v>
      </c>
      <c r="G275" s="2">
        <f>E275*F275</f>
        <v>0</v>
      </c>
      <c r="H275" s="2">
        <v>291.2</v>
      </c>
      <c r="I275" s="2">
        <f>ROUND(H275-G275, 2)</f>
        <v>0</v>
      </c>
      <c r="J275">
        <f>IF(ABS(I275)&gt;0.01, "Priority 3", "None")</f>
        <v>0</v>
      </c>
    </row>
    <row r="276" spans="1:10">
      <c r="A276" t="s">
        <v>1346</v>
      </c>
      <c r="B276" t="s">
        <v>1313</v>
      </c>
      <c r="C276">
        <v>40</v>
      </c>
      <c r="D276">
        <v>38.3</v>
      </c>
      <c r="E276">
        <f>MAX(ROUNDUP(D276, 0), C276)</f>
        <v>0</v>
      </c>
      <c r="F276" s="2">
        <v>10.4</v>
      </c>
      <c r="G276" s="2">
        <f>E276*F276</f>
        <v>0</v>
      </c>
      <c r="H276" s="2">
        <v>416</v>
      </c>
      <c r="I276" s="2">
        <f>ROUND(H276-G276, 2)</f>
        <v>0</v>
      </c>
      <c r="J276">
        <f>IF(ABS(I276)&gt;0.01, "Priority 3", "None")</f>
        <v>0</v>
      </c>
    </row>
    <row r="277" spans="1:10">
      <c r="A277" t="s">
        <v>1347</v>
      </c>
      <c r="B277" t="s">
        <v>1313</v>
      </c>
      <c r="C277">
        <v>24</v>
      </c>
      <c r="D277">
        <v>57.3</v>
      </c>
      <c r="E277">
        <f>MAX(ROUNDUP(D277, 0), C277)</f>
        <v>0</v>
      </c>
      <c r="F277" s="2">
        <v>10.4</v>
      </c>
      <c r="G277" s="2">
        <f>E277*F277</f>
        <v>0</v>
      </c>
      <c r="H277" s="2">
        <v>603.2</v>
      </c>
      <c r="I277" s="2">
        <f>ROUND(H277-G277, 2)</f>
        <v>0</v>
      </c>
      <c r="J277">
        <f>IF(ABS(I277)&gt;0.01, "Priority 3", "None")</f>
        <v>0</v>
      </c>
    </row>
    <row r="278" spans="1:10">
      <c r="A278" t="s">
        <v>1348</v>
      </c>
      <c r="B278" t="s">
        <v>1313</v>
      </c>
      <c r="C278">
        <v>24</v>
      </c>
      <c r="D278">
        <v>38.2</v>
      </c>
      <c r="E278">
        <f>MAX(ROUNDUP(D278, 0), C278)</f>
        <v>0</v>
      </c>
      <c r="F278" s="2">
        <v>10.4</v>
      </c>
      <c r="G278" s="2">
        <f>E278*F278</f>
        <v>0</v>
      </c>
      <c r="H278" s="2">
        <v>405.6</v>
      </c>
      <c r="I278" s="2">
        <f>ROUND(H278-G278, 2)</f>
        <v>0</v>
      </c>
      <c r="J278">
        <f>IF(ABS(I278)&gt;0.01, "Priority 3", "None")</f>
        <v>0</v>
      </c>
    </row>
    <row r="279" spans="1:10">
      <c r="A279" t="s">
        <v>1349</v>
      </c>
      <c r="B279" t="s">
        <v>1313</v>
      </c>
      <c r="C279">
        <v>24</v>
      </c>
      <c r="D279">
        <v>60.4</v>
      </c>
      <c r="E279">
        <f>MAX(ROUNDUP(D279, 0), C279)</f>
        <v>0</v>
      </c>
      <c r="F279" s="2">
        <v>10.4</v>
      </c>
      <c r="G279" s="2">
        <f>E279*F279</f>
        <v>0</v>
      </c>
      <c r="H279" s="2">
        <v>634.4</v>
      </c>
      <c r="I279" s="2">
        <f>ROUND(H279-G279, 2)</f>
        <v>0</v>
      </c>
      <c r="J279">
        <f>IF(ABS(I279)&gt;0.01, "Priority 3", "None")</f>
        <v>0</v>
      </c>
    </row>
    <row r="280" spans="1:10">
      <c r="A280" t="s">
        <v>1350</v>
      </c>
      <c r="B280" t="s">
        <v>1313</v>
      </c>
      <c r="C280">
        <v>28</v>
      </c>
      <c r="D280">
        <v>18.3</v>
      </c>
      <c r="E280">
        <f>MAX(ROUNDUP(D280, 0), C280)</f>
        <v>0</v>
      </c>
      <c r="F280" s="2">
        <v>10.4</v>
      </c>
      <c r="G280" s="2">
        <f>E280*F280</f>
        <v>0</v>
      </c>
      <c r="H280" s="2">
        <v>291.2</v>
      </c>
      <c r="I280" s="2">
        <f>ROUND(H280-G280, 2)</f>
        <v>0</v>
      </c>
      <c r="J280">
        <f>IF(ABS(I280)&gt;0.01, "Priority 3", "None")</f>
        <v>0</v>
      </c>
    </row>
    <row r="281" spans="1:10">
      <c r="A281" t="s">
        <v>1351</v>
      </c>
      <c r="B281" t="s">
        <v>1313</v>
      </c>
      <c r="C281">
        <v>40</v>
      </c>
      <c r="D281">
        <v>30.8</v>
      </c>
      <c r="E281">
        <f>MAX(ROUNDUP(D281, 0), C281)</f>
        <v>0</v>
      </c>
      <c r="F281" s="2">
        <v>10.4</v>
      </c>
      <c r="G281" s="2">
        <f>E281*F281</f>
        <v>0</v>
      </c>
      <c r="H281" s="2">
        <v>416</v>
      </c>
      <c r="I281" s="2">
        <f>ROUND(H281-G281, 2)</f>
        <v>0</v>
      </c>
      <c r="J281">
        <f>IF(ABS(I281)&gt;0.01, "Priority 3", "None")</f>
        <v>0</v>
      </c>
    </row>
    <row r="282" spans="1:10">
      <c r="A282" t="s">
        <v>1352</v>
      </c>
      <c r="B282" t="s">
        <v>1313</v>
      </c>
      <c r="C282">
        <v>24</v>
      </c>
      <c r="D282">
        <v>38.5</v>
      </c>
      <c r="E282">
        <f>MAX(ROUNDUP(D282, 0), C282)</f>
        <v>0</v>
      </c>
      <c r="F282" s="2">
        <v>10.4</v>
      </c>
      <c r="G282" s="2">
        <f>E282*F282</f>
        <v>0</v>
      </c>
      <c r="H282" s="2">
        <v>405.6</v>
      </c>
      <c r="I282" s="2">
        <f>ROUND(H282-G282, 2)</f>
        <v>0</v>
      </c>
      <c r="J282">
        <f>IF(ABS(I282)&gt;0.01, "Priority 3", "None")</f>
        <v>0</v>
      </c>
    </row>
    <row r="283" spans="1:10">
      <c r="A283" t="s">
        <v>1353</v>
      </c>
      <c r="B283" t="s">
        <v>1313</v>
      </c>
      <c r="C283">
        <v>24</v>
      </c>
      <c r="D283">
        <v>27</v>
      </c>
      <c r="E283">
        <f>MAX(ROUNDUP(D283, 0), C283)</f>
        <v>0</v>
      </c>
      <c r="F283" s="2">
        <v>10.4</v>
      </c>
      <c r="G283" s="2">
        <f>E283*F283</f>
        <v>0</v>
      </c>
      <c r="H283" s="2">
        <v>280.8</v>
      </c>
      <c r="I283" s="2">
        <f>ROUND(H283-G283, 2)</f>
        <v>0</v>
      </c>
      <c r="J283">
        <f>IF(ABS(I283)&gt;0.01, "Priority 3", "None")</f>
        <v>0</v>
      </c>
    </row>
    <row r="284" spans="1:10">
      <c r="A284" t="s">
        <v>1354</v>
      </c>
      <c r="B284" t="s">
        <v>1313</v>
      </c>
      <c r="C284">
        <v>28</v>
      </c>
      <c r="D284">
        <v>47.7</v>
      </c>
      <c r="E284">
        <f>MAX(ROUNDUP(D284, 0), C284)</f>
        <v>0</v>
      </c>
      <c r="F284" s="2">
        <v>10.4</v>
      </c>
      <c r="G284" s="2">
        <f>E284*F284</f>
        <v>0</v>
      </c>
      <c r="H284" s="2">
        <v>499.2</v>
      </c>
      <c r="I284" s="2">
        <f>ROUND(H284-G284, 2)</f>
        <v>0</v>
      </c>
      <c r="J284">
        <f>IF(ABS(I284)&gt;0.01, "Priority 3", "None")</f>
        <v>0</v>
      </c>
    </row>
    <row r="285" spans="1:10">
      <c r="A285" t="s">
        <v>1355</v>
      </c>
      <c r="B285" t="s">
        <v>1313</v>
      </c>
      <c r="C285">
        <v>28</v>
      </c>
      <c r="D285">
        <v>24.4</v>
      </c>
      <c r="E285">
        <f>MAX(ROUNDUP(D285, 0), C285)</f>
        <v>0</v>
      </c>
      <c r="F285" s="2">
        <v>10.4</v>
      </c>
      <c r="G285" s="2">
        <f>E285*F285</f>
        <v>0</v>
      </c>
      <c r="H285" s="2">
        <v>291.2</v>
      </c>
      <c r="I285" s="2">
        <f>ROUND(H285-G285, 2)</f>
        <v>0</v>
      </c>
      <c r="J285">
        <f>IF(ABS(I285)&gt;0.01, "Priority 3", "None")</f>
        <v>0</v>
      </c>
    </row>
    <row r="286" spans="1:10">
      <c r="A286" t="s">
        <v>1356</v>
      </c>
      <c r="B286" t="s">
        <v>1313</v>
      </c>
      <c r="C286">
        <v>24</v>
      </c>
      <c r="D286">
        <v>31.2</v>
      </c>
      <c r="E286">
        <f>MAX(ROUNDUP(D286, 0), C286)</f>
        <v>0</v>
      </c>
      <c r="F286" s="2">
        <v>10.4</v>
      </c>
      <c r="G286" s="2">
        <f>E286*F286</f>
        <v>0</v>
      </c>
      <c r="H286" s="2">
        <v>332.8</v>
      </c>
      <c r="I286" s="2">
        <f>ROUND(H286-G286, 2)</f>
        <v>0</v>
      </c>
      <c r="J286">
        <f>IF(ABS(I286)&gt;0.01, "Priority 3", "None")</f>
        <v>0</v>
      </c>
    </row>
    <row r="287" spans="1:10">
      <c r="A287" t="s">
        <v>1357</v>
      </c>
      <c r="B287" t="s">
        <v>1313</v>
      </c>
      <c r="C287">
        <v>28</v>
      </c>
      <c r="D287">
        <v>61.3</v>
      </c>
      <c r="E287">
        <f>MAX(ROUNDUP(D287, 0), C287)</f>
        <v>0</v>
      </c>
      <c r="F287" s="2">
        <v>10.4</v>
      </c>
      <c r="G287" s="2">
        <f>E287*F287</f>
        <v>0</v>
      </c>
      <c r="H287" s="2">
        <v>644.8</v>
      </c>
      <c r="I287" s="2">
        <f>ROUND(H287-G287, 2)</f>
        <v>0</v>
      </c>
      <c r="J287">
        <f>IF(ABS(I287)&gt;0.01, "Priority 3", "None")</f>
        <v>0</v>
      </c>
    </row>
    <row r="288" spans="1:10">
      <c r="A288" t="s">
        <v>1358</v>
      </c>
      <c r="B288" t="s">
        <v>1313</v>
      </c>
      <c r="C288">
        <v>32</v>
      </c>
      <c r="D288">
        <v>31.4</v>
      </c>
      <c r="E288">
        <f>MAX(ROUNDUP(D288, 0), C288)</f>
        <v>0</v>
      </c>
      <c r="F288" s="2">
        <v>10.4</v>
      </c>
      <c r="G288" s="2">
        <f>E288*F288</f>
        <v>0</v>
      </c>
      <c r="H288" s="2">
        <v>332.8</v>
      </c>
      <c r="I288" s="2">
        <f>ROUND(H288-G288, 2)</f>
        <v>0</v>
      </c>
      <c r="J288">
        <f>IF(ABS(I288)&gt;0.01, "Priority 3", "None")</f>
        <v>0</v>
      </c>
    </row>
    <row r="289" spans="1:10">
      <c r="A289" t="s">
        <v>1359</v>
      </c>
      <c r="B289" t="s">
        <v>1313</v>
      </c>
      <c r="C289">
        <v>28</v>
      </c>
      <c r="D289">
        <v>27</v>
      </c>
      <c r="E289">
        <f>MAX(ROUNDUP(D289, 0), C289)</f>
        <v>0</v>
      </c>
      <c r="F289" s="2">
        <v>10.4</v>
      </c>
      <c r="G289" s="2">
        <f>E289*F289</f>
        <v>0</v>
      </c>
      <c r="H289" s="2">
        <v>291.2</v>
      </c>
      <c r="I289" s="2">
        <f>ROUND(H289-G289, 2)</f>
        <v>0</v>
      </c>
      <c r="J289">
        <f>IF(ABS(I289)&gt;0.01, "Priority 3", "None")</f>
        <v>0</v>
      </c>
    </row>
    <row r="290" spans="1:10">
      <c r="A290" t="s">
        <v>1360</v>
      </c>
      <c r="B290" t="s">
        <v>1313</v>
      </c>
      <c r="C290">
        <v>28</v>
      </c>
      <c r="D290">
        <v>41.3</v>
      </c>
      <c r="E290">
        <f>MAX(ROUNDUP(D290, 0), C290)</f>
        <v>0</v>
      </c>
      <c r="F290" s="2">
        <v>10.4</v>
      </c>
      <c r="G290" s="2">
        <f>E290*F290</f>
        <v>0</v>
      </c>
      <c r="H290" s="2">
        <v>436.8</v>
      </c>
      <c r="I290" s="2">
        <f>ROUND(H290-G290, 2)</f>
        <v>0</v>
      </c>
      <c r="J290">
        <f>IF(ABS(I290)&gt;0.01, "Priority 3", "None")</f>
        <v>0</v>
      </c>
    </row>
    <row r="291" spans="1:10">
      <c r="A291" t="s">
        <v>1361</v>
      </c>
      <c r="B291" t="s">
        <v>1313</v>
      </c>
      <c r="C291">
        <v>32</v>
      </c>
      <c r="D291">
        <v>30.5</v>
      </c>
      <c r="E291">
        <f>MAX(ROUNDUP(D291, 0), C291)</f>
        <v>0</v>
      </c>
      <c r="F291" s="2">
        <v>10.4</v>
      </c>
      <c r="G291" s="2">
        <f>E291*F291</f>
        <v>0</v>
      </c>
      <c r="H291" s="2">
        <v>332.8</v>
      </c>
      <c r="I291" s="2">
        <f>ROUND(H291-G291, 2)</f>
        <v>0</v>
      </c>
      <c r="J291">
        <f>IF(ABS(I291)&gt;0.01, "Priority 3", "None")</f>
        <v>0</v>
      </c>
    </row>
    <row r="292" spans="1:10">
      <c r="A292" t="s">
        <v>1362</v>
      </c>
      <c r="B292" t="s">
        <v>1313</v>
      </c>
      <c r="C292">
        <v>32</v>
      </c>
      <c r="D292">
        <v>32.2</v>
      </c>
      <c r="E292">
        <f>MAX(ROUNDUP(D292, 0), C292)</f>
        <v>0</v>
      </c>
      <c r="F292" s="2">
        <v>10.4</v>
      </c>
      <c r="G292" s="2">
        <f>E292*F292</f>
        <v>0</v>
      </c>
      <c r="H292" s="2">
        <v>343.2</v>
      </c>
      <c r="I292" s="2">
        <f>ROUND(H292-G292, 2)</f>
        <v>0</v>
      </c>
      <c r="J292">
        <f>IF(ABS(I292)&gt;0.01, "Priority 3", "None")</f>
        <v>0</v>
      </c>
    </row>
    <row r="293" spans="1:10">
      <c r="A293" t="s">
        <v>1363</v>
      </c>
      <c r="B293" t="s">
        <v>1313</v>
      </c>
      <c r="C293">
        <v>24</v>
      </c>
      <c r="D293">
        <v>45.8</v>
      </c>
      <c r="E293">
        <f>MAX(ROUNDUP(D293, 0), C293)</f>
        <v>0</v>
      </c>
      <c r="F293" s="2">
        <v>10.4</v>
      </c>
      <c r="G293" s="2">
        <f>E293*F293</f>
        <v>0</v>
      </c>
      <c r="H293" s="2">
        <v>478.4</v>
      </c>
      <c r="I293" s="2">
        <f>ROUND(H293-G293, 2)</f>
        <v>0</v>
      </c>
      <c r="J293">
        <f>IF(ABS(I293)&gt;0.01, "Priority 3", "None")</f>
        <v>0</v>
      </c>
    </row>
    <row r="294" spans="1:10">
      <c r="A294" t="s">
        <v>1364</v>
      </c>
      <c r="B294" t="s">
        <v>1313</v>
      </c>
      <c r="C294">
        <v>28</v>
      </c>
      <c r="D294">
        <v>18.3</v>
      </c>
      <c r="E294">
        <f>MAX(ROUNDUP(D294, 0), C294)</f>
        <v>0</v>
      </c>
      <c r="F294" s="2">
        <v>10.4</v>
      </c>
      <c r="G294" s="2">
        <f>E294*F294</f>
        <v>0</v>
      </c>
      <c r="H294" s="2">
        <v>291.2</v>
      </c>
      <c r="I294" s="2">
        <f>ROUND(H294-G294, 2)</f>
        <v>0</v>
      </c>
      <c r="J294">
        <f>IF(ABS(I294)&gt;0.01, "Priority 3", "None")</f>
        <v>0</v>
      </c>
    </row>
    <row r="295" spans="1:10">
      <c r="A295" t="s">
        <v>1365</v>
      </c>
      <c r="B295" t="s">
        <v>1313</v>
      </c>
      <c r="C295">
        <v>24</v>
      </c>
      <c r="D295">
        <v>32</v>
      </c>
      <c r="E295">
        <f>MAX(ROUNDUP(D295, 0), C295)</f>
        <v>0</v>
      </c>
      <c r="F295" s="2">
        <v>10.4</v>
      </c>
      <c r="G295" s="2">
        <f>E295*F295</f>
        <v>0</v>
      </c>
      <c r="H295" s="2">
        <v>332.8</v>
      </c>
      <c r="I295" s="2">
        <f>ROUND(H295-G295, 2)</f>
        <v>0</v>
      </c>
      <c r="J295">
        <f>IF(ABS(I295)&gt;0.01, "Priority 3", "None")</f>
        <v>0</v>
      </c>
    </row>
    <row r="296" spans="1:10">
      <c r="A296" t="s">
        <v>1366</v>
      </c>
      <c r="B296" t="s">
        <v>1313</v>
      </c>
      <c r="C296">
        <v>24</v>
      </c>
      <c r="D296">
        <v>41.8</v>
      </c>
      <c r="E296">
        <f>MAX(ROUNDUP(D296, 0), C296)</f>
        <v>0</v>
      </c>
      <c r="F296" s="2">
        <v>10.4</v>
      </c>
      <c r="G296" s="2">
        <f>E296*F296</f>
        <v>0</v>
      </c>
      <c r="H296" s="2">
        <v>436.8</v>
      </c>
      <c r="I296" s="2">
        <f>ROUND(H296-G296, 2)</f>
        <v>0</v>
      </c>
      <c r="J296">
        <f>IF(ABS(I296)&gt;0.01, "Priority 3", "None")</f>
        <v>0</v>
      </c>
    </row>
    <row r="297" spans="1:10">
      <c r="A297" t="s">
        <v>1367</v>
      </c>
      <c r="B297" t="s">
        <v>1313</v>
      </c>
      <c r="C297">
        <v>36</v>
      </c>
      <c r="D297">
        <v>20.6</v>
      </c>
      <c r="E297">
        <f>MAX(ROUNDUP(D297, 0), C297)</f>
        <v>0</v>
      </c>
      <c r="F297" s="2">
        <v>10.4</v>
      </c>
      <c r="G297" s="2">
        <f>E297*F297</f>
        <v>0</v>
      </c>
      <c r="H297" s="2">
        <v>374.4</v>
      </c>
      <c r="I297" s="2">
        <f>ROUND(H297-G297, 2)</f>
        <v>0</v>
      </c>
      <c r="J297">
        <f>IF(ABS(I297)&gt;0.01, "Priority 3", "None")</f>
        <v>0</v>
      </c>
    </row>
    <row r="298" spans="1:10">
      <c r="A298" t="s">
        <v>1368</v>
      </c>
      <c r="B298" t="s">
        <v>1313</v>
      </c>
      <c r="C298">
        <v>28</v>
      </c>
      <c r="D298">
        <v>38.6</v>
      </c>
      <c r="E298">
        <f>MAX(ROUNDUP(D298, 0), C298)</f>
        <v>0</v>
      </c>
      <c r="F298" s="2">
        <v>10.4</v>
      </c>
      <c r="G298" s="2">
        <f>E298*F298</f>
        <v>0</v>
      </c>
      <c r="H298" s="2">
        <v>405.6</v>
      </c>
      <c r="I298" s="2">
        <f>ROUND(H298-G298, 2)</f>
        <v>0</v>
      </c>
      <c r="J298">
        <f>IF(ABS(I298)&gt;0.01, "Priority 3", "None")</f>
        <v>0</v>
      </c>
    </row>
    <row r="299" spans="1:10">
      <c r="A299" t="s">
        <v>1369</v>
      </c>
      <c r="B299" t="s">
        <v>1313</v>
      </c>
      <c r="C299">
        <v>32</v>
      </c>
      <c r="D299">
        <v>46.6</v>
      </c>
      <c r="E299">
        <f>MAX(ROUNDUP(D299, 0), C299)</f>
        <v>0</v>
      </c>
      <c r="F299" s="2">
        <v>10.4</v>
      </c>
      <c r="G299" s="2">
        <f>E299*F299</f>
        <v>0</v>
      </c>
      <c r="H299" s="2">
        <v>488.8</v>
      </c>
      <c r="I299" s="2">
        <f>ROUND(H299-G299, 2)</f>
        <v>0</v>
      </c>
      <c r="J299">
        <f>IF(ABS(I299)&gt;0.01, "Priority 3", "None")</f>
        <v>0</v>
      </c>
    </row>
    <row r="300" spans="1:10">
      <c r="A300" t="s">
        <v>1370</v>
      </c>
      <c r="B300" t="s">
        <v>1313</v>
      </c>
      <c r="C300">
        <v>24</v>
      </c>
      <c r="D300">
        <v>56.6</v>
      </c>
      <c r="E300">
        <f>MAX(ROUNDUP(D300, 0), C300)</f>
        <v>0</v>
      </c>
      <c r="F300" s="2">
        <v>10.4</v>
      </c>
      <c r="G300" s="2">
        <f>E300*F300</f>
        <v>0</v>
      </c>
      <c r="H300" s="2">
        <v>592.8</v>
      </c>
      <c r="I300" s="2">
        <f>ROUND(H300-G300, 2)</f>
        <v>0</v>
      </c>
      <c r="J300">
        <f>IF(ABS(I300)&gt;0.01, "Priority 3", "None")</f>
        <v>0</v>
      </c>
    </row>
    <row r="301" spans="1:10">
      <c r="A301" t="s">
        <v>1371</v>
      </c>
      <c r="B301" t="s">
        <v>1313</v>
      </c>
      <c r="C301">
        <v>24</v>
      </c>
      <c r="D301">
        <v>61.1</v>
      </c>
      <c r="E301">
        <f>MAX(ROUNDUP(D301, 0), C301)</f>
        <v>0</v>
      </c>
      <c r="F301" s="2">
        <v>10.4</v>
      </c>
      <c r="G301" s="2">
        <f>E301*F301</f>
        <v>0</v>
      </c>
      <c r="H301" s="2">
        <v>644.8</v>
      </c>
      <c r="I301" s="2">
        <f>ROUND(H301-G301, 2)</f>
        <v>0</v>
      </c>
      <c r="J301">
        <f>IF(ABS(I301)&gt;0.01, "Priority 3", "None")</f>
        <v>0</v>
      </c>
    </row>
    <row r="302" spans="1:10">
      <c r="A302" t="s">
        <v>1372</v>
      </c>
      <c r="B302" t="s">
        <v>1313</v>
      </c>
      <c r="C302">
        <v>28</v>
      </c>
      <c r="D302">
        <v>40</v>
      </c>
      <c r="E302">
        <f>MAX(ROUNDUP(D302, 0), C302)</f>
        <v>0</v>
      </c>
      <c r="F302" s="2">
        <v>10.4</v>
      </c>
      <c r="G302" s="2">
        <f>E302*F302</f>
        <v>0</v>
      </c>
      <c r="H302" s="2">
        <v>416</v>
      </c>
      <c r="I302" s="2">
        <f>ROUND(H302-G302, 2)</f>
        <v>0</v>
      </c>
      <c r="J302">
        <f>IF(ABS(I302)&gt;0.01, "Priority 3", "None")</f>
        <v>0</v>
      </c>
    </row>
    <row r="303" spans="1:10">
      <c r="A303" t="s">
        <v>1373</v>
      </c>
      <c r="B303" t="s">
        <v>1313</v>
      </c>
      <c r="C303">
        <v>36</v>
      </c>
      <c r="D303">
        <v>32.7</v>
      </c>
      <c r="E303">
        <f>MAX(ROUNDUP(D303, 0), C303)</f>
        <v>0</v>
      </c>
      <c r="F303" s="2">
        <v>10.4</v>
      </c>
      <c r="G303" s="2">
        <f>E303*F303</f>
        <v>0</v>
      </c>
      <c r="H303" s="2">
        <v>374.4</v>
      </c>
      <c r="I303" s="2">
        <f>ROUND(H303-G303, 2)</f>
        <v>0</v>
      </c>
      <c r="J303">
        <f>IF(ABS(I303)&gt;0.01, "Priority 3", "None")</f>
        <v>0</v>
      </c>
    </row>
    <row r="304" spans="1:10">
      <c r="A304" t="s">
        <v>1374</v>
      </c>
      <c r="B304" t="s">
        <v>1313</v>
      </c>
      <c r="C304">
        <v>24</v>
      </c>
      <c r="D304">
        <v>38.4</v>
      </c>
      <c r="E304">
        <f>MAX(ROUNDUP(D304, 0), C304)</f>
        <v>0</v>
      </c>
      <c r="F304" s="2">
        <v>10.4</v>
      </c>
      <c r="G304" s="2">
        <f>E304*F304</f>
        <v>0</v>
      </c>
      <c r="H304" s="2">
        <v>405.6</v>
      </c>
      <c r="I304" s="2">
        <f>ROUND(H304-G304, 2)</f>
        <v>0</v>
      </c>
      <c r="J304">
        <f>IF(ABS(I304)&gt;0.01, "Priority 3", "None")</f>
        <v>0</v>
      </c>
    </row>
    <row r="305" spans="1:10">
      <c r="A305" t="s">
        <v>1375</v>
      </c>
      <c r="B305" t="s">
        <v>1313</v>
      </c>
      <c r="C305">
        <v>32</v>
      </c>
      <c r="D305">
        <v>27.2</v>
      </c>
      <c r="E305">
        <f>MAX(ROUNDUP(D305, 0), C305)</f>
        <v>0</v>
      </c>
      <c r="F305" s="2">
        <v>10.4</v>
      </c>
      <c r="G305" s="2">
        <f>E305*F305</f>
        <v>0</v>
      </c>
      <c r="H305" s="2">
        <v>332.8</v>
      </c>
      <c r="I305" s="2">
        <f>ROUND(H305-G305, 2)</f>
        <v>0</v>
      </c>
      <c r="J305">
        <f>IF(ABS(I305)&gt;0.01, "Priority 3", "None")</f>
        <v>0</v>
      </c>
    </row>
    <row r="306" spans="1:10">
      <c r="A306" t="s">
        <v>1376</v>
      </c>
      <c r="B306" t="s">
        <v>1313</v>
      </c>
      <c r="C306">
        <v>28</v>
      </c>
      <c r="D306">
        <v>25.8</v>
      </c>
      <c r="E306">
        <f>MAX(ROUNDUP(D306, 0), C306)</f>
        <v>0</v>
      </c>
      <c r="F306" s="2">
        <v>10.4</v>
      </c>
      <c r="G306" s="2">
        <f>E306*F306</f>
        <v>0</v>
      </c>
      <c r="H306" s="2">
        <v>291.2</v>
      </c>
      <c r="I306" s="2">
        <f>ROUND(H306-G306, 2)</f>
        <v>0</v>
      </c>
      <c r="J306">
        <f>IF(ABS(I306)&gt;0.01, "Priority 3", "None")</f>
        <v>0</v>
      </c>
    </row>
    <row r="307" spans="1:10">
      <c r="A307" t="s">
        <v>1377</v>
      </c>
      <c r="B307" t="s">
        <v>1313</v>
      </c>
      <c r="C307">
        <v>32</v>
      </c>
      <c r="D307">
        <v>50</v>
      </c>
      <c r="E307">
        <f>MAX(ROUNDUP(D307, 0), C307)</f>
        <v>0</v>
      </c>
      <c r="F307" s="2">
        <v>10.4</v>
      </c>
      <c r="G307" s="2">
        <f>E307*F307</f>
        <v>0</v>
      </c>
      <c r="H307" s="2">
        <v>520</v>
      </c>
      <c r="I307" s="2">
        <f>ROUND(H307-G307, 2)</f>
        <v>0</v>
      </c>
      <c r="J307">
        <f>IF(ABS(I307)&gt;0.01, "Priority 3", "None")</f>
        <v>0</v>
      </c>
    </row>
    <row r="308" spans="1:10">
      <c r="A308" t="s">
        <v>1378</v>
      </c>
      <c r="B308" t="s">
        <v>1313</v>
      </c>
      <c r="C308">
        <v>28</v>
      </c>
      <c r="D308">
        <v>26.2</v>
      </c>
      <c r="E308">
        <f>MAX(ROUNDUP(D308, 0), C308)</f>
        <v>0</v>
      </c>
      <c r="F308" s="2">
        <v>10.4</v>
      </c>
      <c r="G308" s="2">
        <f>E308*F308</f>
        <v>0</v>
      </c>
      <c r="H308" s="2">
        <v>291.2</v>
      </c>
      <c r="I308" s="2">
        <f>ROUND(H308-G308, 2)</f>
        <v>0</v>
      </c>
      <c r="J308">
        <f>IF(ABS(I308)&gt;0.01, "Priority 3", "None")</f>
        <v>0</v>
      </c>
    </row>
    <row r="309" spans="1:10">
      <c r="A309" t="s">
        <v>1379</v>
      </c>
      <c r="B309" t="s">
        <v>1313</v>
      </c>
      <c r="C309">
        <v>40</v>
      </c>
      <c r="D309">
        <v>22.7</v>
      </c>
      <c r="E309">
        <f>MAX(ROUNDUP(D309, 0), C309)</f>
        <v>0</v>
      </c>
      <c r="F309" s="2">
        <v>10.4</v>
      </c>
      <c r="G309" s="2">
        <f>E309*F309</f>
        <v>0</v>
      </c>
      <c r="H309" s="2">
        <v>416</v>
      </c>
      <c r="I309" s="2">
        <f>ROUND(H309-G309, 2)</f>
        <v>0</v>
      </c>
      <c r="J309">
        <f>IF(ABS(I309)&gt;0.01, "Priority 3", "None")</f>
        <v>0</v>
      </c>
    </row>
    <row r="310" spans="1:10">
      <c r="A310" t="s">
        <v>1380</v>
      </c>
      <c r="B310" t="s">
        <v>1313</v>
      </c>
      <c r="C310">
        <v>40</v>
      </c>
      <c r="D310">
        <v>43.8</v>
      </c>
      <c r="E310">
        <f>MAX(ROUNDUP(D310, 0), C310)</f>
        <v>0</v>
      </c>
      <c r="F310" s="2">
        <v>10.4</v>
      </c>
      <c r="G310" s="2">
        <f>E310*F310</f>
        <v>0</v>
      </c>
      <c r="H310" s="2">
        <v>457.6</v>
      </c>
      <c r="I310" s="2">
        <f>ROUND(H310-G310, 2)</f>
        <v>0</v>
      </c>
      <c r="J310">
        <f>IF(ABS(I310)&gt;0.01, "Priority 3", "None")</f>
        <v>0</v>
      </c>
    </row>
    <row r="311" spans="1:10">
      <c r="A311" t="s">
        <v>1381</v>
      </c>
      <c r="B311" t="s">
        <v>1313</v>
      </c>
      <c r="C311">
        <v>36</v>
      </c>
      <c r="D311">
        <v>36.7</v>
      </c>
      <c r="E311">
        <f>MAX(ROUNDUP(D311, 0), C311)</f>
        <v>0</v>
      </c>
      <c r="F311" s="2">
        <v>10.4</v>
      </c>
      <c r="G311" s="2">
        <f>E311*F311</f>
        <v>0</v>
      </c>
      <c r="H311" s="2">
        <v>384.8</v>
      </c>
      <c r="I311" s="2">
        <f>ROUND(H311-G311, 2)</f>
        <v>0</v>
      </c>
      <c r="J311">
        <f>IF(ABS(I311)&gt;0.01, "Priority 3", "None")</f>
        <v>0</v>
      </c>
    </row>
    <row r="312" spans="1:10">
      <c r="A312" t="s">
        <v>1382</v>
      </c>
      <c r="B312" t="s">
        <v>1313</v>
      </c>
      <c r="C312">
        <v>24</v>
      </c>
      <c r="D312">
        <v>41.1</v>
      </c>
      <c r="E312">
        <f>MAX(ROUNDUP(D312, 0), C312)</f>
        <v>0</v>
      </c>
      <c r="F312" s="2">
        <v>10.4</v>
      </c>
      <c r="G312" s="2">
        <f>E312*F312</f>
        <v>0</v>
      </c>
      <c r="H312" s="2">
        <v>436.8</v>
      </c>
      <c r="I312" s="2">
        <f>ROUND(H312-G312, 2)</f>
        <v>0</v>
      </c>
      <c r="J312">
        <f>IF(ABS(I312)&gt;0.01, "Priority 3", "None")</f>
        <v>0</v>
      </c>
    </row>
    <row r="313" spans="1:10">
      <c r="A313" t="s">
        <v>1383</v>
      </c>
      <c r="B313" t="s">
        <v>1313</v>
      </c>
      <c r="C313">
        <v>36</v>
      </c>
      <c r="D313">
        <v>46.8</v>
      </c>
      <c r="E313">
        <f>MAX(ROUNDUP(D313, 0), C313)</f>
        <v>0</v>
      </c>
      <c r="F313" s="2">
        <v>10.4</v>
      </c>
      <c r="G313" s="2">
        <f>E313*F313</f>
        <v>0</v>
      </c>
      <c r="H313" s="2">
        <v>488.8</v>
      </c>
      <c r="I313" s="2">
        <f>ROUND(H313-G313, 2)</f>
        <v>0</v>
      </c>
      <c r="J313">
        <f>IF(ABS(I313)&gt;0.01, "Priority 3", "None")</f>
        <v>0</v>
      </c>
    </row>
    <row r="314" spans="1:10">
      <c r="A314" t="s">
        <v>1384</v>
      </c>
      <c r="B314" t="s">
        <v>1313</v>
      </c>
      <c r="C314">
        <v>28</v>
      </c>
      <c r="D314">
        <v>37.4</v>
      </c>
      <c r="E314">
        <f>MAX(ROUNDUP(D314, 0), C314)</f>
        <v>0</v>
      </c>
      <c r="F314" s="2">
        <v>10.4</v>
      </c>
      <c r="G314" s="2">
        <f>E314*F314</f>
        <v>0</v>
      </c>
      <c r="H314" s="2">
        <v>395.2</v>
      </c>
      <c r="I314" s="2">
        <f>ROUND(H314-G314, 2)</f>
        <v>0</v>
      </c>
      <c r="J314">
        <f>IF(ABS(I314)&gt;0.01, "Priority 3", "None")</f>
        <v>0</v>
      </c>
    </row>
    <row r="315" spans="1:10">
      <c r="A315" t="s">
        <v>1385</v>
      </c>
      <c r="B315" t="s">
        <v>1313</v>
      </c>
      <c r="C315">
        <v>36</v>
      </c>
      <c r="D315">
        <v>55.4</v>
      </c>
      <c r="E315">
        <f>MAX(ROUNDUP(D315, 0), C315)</f>
        <v>0</v>
      </c>
      <c r="F315" s="2">
        <v>10.4</v>
      </c>
      <c r="G315" s="2">
        <f>E315*F315</f>
        <v>0</v>
      </c>
      <c r="H315" s="2">
        <v>582.4</v>
      </c>
      <c r="I315" s="2">
        <f>ROUND(H315-G315, 2)</f>
        <v>0</v>
      </c>
      <c r="J315">
        <f>IF(ABS(I315)&gt;0.01, "Priority 3", "None")</f>
        <v>0</v>
      </c>
    </row>
    <row r="316" spans="1:10">
      <c r="A316" t="s">
        <v>1386</v>
      </c>
      <c r="B316" t="s">
        <v>1313</v>
      </c>
      <c r="C316">
        <v>40</v>
      </c>
      <c r="D316">
        <v>56.4</v>
      </c>
      <c r="E316">
        <f>MAX(ROUNDUP(D316, 0), C316)</f>
        <v>0</v>
      </c>
      <c r="F316" s="2">
        <v>10.4</v>
      </c>
      <c r="G316" s="2">
        <f>E316*F316</f>
        <v>0</v>
      </c>
      <c r="H316" s="2">
        <v>592.8</v>
      </c>
      <c r="I316" s="2">
        <f>ROUND(H316-G316, 2)</f>
        <v>0</v>
      </c>
      <c r="J316">
        <f>IF(ABS(I316)&gt;0.01, "Priority 3", "None")</f>
        <v>0</v>
      </c>
    </row>
    <row r="317" spans="1:10">
      <c r="A317" t="s">
        <v>1387</v>
      </c>
      <c r="B317" t="s">
        <v>1313</v>
      </c>
      <c r="C317">
        <v>24</v>
      </c>
      <c r="D317">
        <v>30.6</v>
      </c>
      <c r="E317">
        <f>MAX(ROUNDUP(D317, 0), C317)</f>
        <v>0</v>
      </c>
      <c r="F317" s="2">
        <v>10.4</v>
      </c>
      <c r="G317" s="2">
        <f>E317*F317</f>
        <v>0</v>
      </c>
      <c r="H317" s="2">
        <v>322.4</v>
      </c>
      <c r="I317" s="2">
        <f>ROUND(H317-G317, 2)</f>
        <v>0</v>
      </c>
      <c r="J317">
        <f>IF(ABS(I317)&gt;0.01, "Priority 3", "None")</f>
        <v>0</v>
      </c>
    </row>
    <row r="318" spans="1:10">
      <c r="A318" t="s">
        <v>1388</v>
      </c>
      <c r="B318" t="s">
        <v>1313</v>
      </c>
      <c r="C318">
        <v>36</v>
      </c>
      <c r="D318">
        <v>52.4</v>
      </c>
      <c r="E318">
        <f>MAX(ROUNDUP(D318, 0), C318)</f>
        <v>0</v>
      </c>
      <c r="F318" s="2">
        <v>10.4</v>
      </c>
      <c r="G318" s="2">
        <f>E318*F318</f>
        <v>0</v>
      </c>
      <c r="H318" s="2">
        <v>551.2</v>
      </c>
      <c r="I318" s="2">
        <f>ROUND(H318-G318, 2)</f>
        <v>0</v>
      </c>
      <c r="J318">
        <f>IF(ABS(I318)&gt;0.01, "Priority 3", "None")</f>
        <v>0</v>
      </c>
    </row>
    <row r="319" spans="1:10">
      <c r="A319" t="s">
        <v>1389</v>
      </c>
      <c r="B319" t="s">
        <v>1313</v>
      </c>
      <c r="C319">
        <v>32</v>
      </c>
      <c r="D319">
        <v>57</v>
      </c>
      <c r="E319">
        <f>MAX(ROUNDUP(D319, 0), C319)</f>
        <v>0</v>
      </c>
      <c r="F319" s="2">
        <v>10.4</v>
      </c>
      <c r="G319" s="2">
        <f>E319*F319</f>
        <v>0</v>
      </c>
      <c r="H319" s="2">
        <v>592.8</v>
      </c>
      <c r="I319" s="2">
        <f>ROUND(H319-G319, 2)</f>
        <v>0</v>
      </c>
      <c r="J319">
        <f>IF(ABS(I319)&gt;0.01, "Priority 3", "None")</f>
        <v>0</v>
      </c>
    </row>
    <row r="320" spans="1:10">
      <c r="A320" t="s">
        <v>1390</v>
      </c>
      <c r="B320" t="s">
        <v>1313</v>
      </c>
      <c r="C320">
        <v>32</v>
      </c>
      <c r="D320">
        <v>20.6</v>
      </c>
      <c r="E320">
        <f>MAX(ROUNDUP(D320, 0), C320)</f>
        <v>0</v>
      </c>
      <c r="F320" s="2">
        <v>10.4</v>
      </c>
      <c r="G320" s="2">
        <f>E320*F320</f>
        <v>0</v>
      </c>
      <c r="H320" s="2">
        <v>332.8</v>
      </c>
      <c r="I320" s="2">
        <f>ROUND(H320-G320, 2)</f>
        <v>0</v>
      </c>
      <c r="J320">
        <f>IF(ABS(I320)&gt;0.01, "Priority 3", "None")</f>
        <v>0</v>
      </c>
    </row>
    <row r="321" spans="1:10">
      <c r="A321" t="s">
        <v>1391</v>
      </c>
      <c r="B321" t="s">
        <v>1313</v>
      </c>
      <c r="C321">
        <v>24</v>
      </c>
      <c r="D321">
        <v>37</v>
      </c>
      <c r="E321">
        <f>MAX(ROUNDUP(D321, 0), C321)</f>
        <v>0</v>
      </c>
      <c r="F321" s="2">
        <v>10.4</v>
      </c>
      <c r="G321" s="2">
        <f>E321*F321</f>
        <v>0</v>
      </c>
      <c r="H321" s="2">
        <v>384.8</v>
      </c>
      <c r="I321" s="2">
        <f>ROUND(H321-G321, 2)</f>
        <v>0</v>
      </c>
      <c r="J321">
        <f>IF(ABS(I321)&gt;0.01, "Priority 3", "None")</f>
        <v>0</v>
      </c>
    </row>
    <row r="322" spans="1:10">
      <c r="A322" t="s">
        <v>1392</v>
      </c>
      <c r="B322" t="s">
        <v>1313</v>
      </c>
      <c r="C322">
        <v>36</v>
      </c>
      <c r="D322">
        <v>55.9</v>
      </c>
      <c r="E322">
        <f>MAX(ROUNDUP(D322, 0), C322)</f>
        <v>0</v>
      </c>
      <c r="F322" s="2">
        <v>10.4</v>
      </c>
      <c r="G322" s="2">
        <f>E322*F322</f>
        <v>0</v>
      </c>
      <c r="H322" s="2">
        <v>582.4</v>
      </c>
      <c r="I322" s="2">
        <f>ROUND(H322-G322, 2)</f>
        <v>0</v>
      </c>
      <c r="J322">
        <f>IF(ABS(I322)&gt;0.01, "Priority 3", "None")</f>
        <v>0</v>
      </c>
    </row>
    <row r="323" spans="1:10">
      <c r="A323" t="s">
        <v>1393</v>
      </c>
      <c r="B323" t="s">
        <v>1313</v>
      </c>
      <c r="C323">
        <v>32</v>
      </c>
      <c r="D323">
        <v>43.6</v>
      </c>
      <c r="E323">
        <f>MAX(ROUNDUP(D323, 0), C323)</f>
        <v>0</v>
      </c>
      <c r="F323" s="2">
        <v>10.4</v>
      </c>
      <c r="G323" s="2">
        <f>E323*F323</f>
        <v>0</v>
      </c>
      <c r="H323" s="2">
        <v>457.6</v>
      </c>
      <c r="I323" s="2">
        <f>ROUND(H323-G323, 2)</f>
        <v>0</v>
      </c>
      <c r="J323">
        <f>IF(ABS(I323)&gt;0.01, "Priority 3", "None")</f>
        <v>0</v>
      </c>
    </row>
    <row r="324" spans="1:10">
      <c r="A324" t="s">
        <v>1394</v>
      </c>
      <c r="B324" t="s">
        <v>1313</v>
      </c>
      <c r="C324">
        <v>32</v>
      </c>
      <c r="D324">
        <v>55.4</v>
      </c>
      <c r="E324">
        <f>MAX(ROUNDUP(D324, 0), C324)</f>
        <v>0</v>
      </c>
      <c r="F324" s="2">
        <v>10.4</v>
      </c>
      <c r="G324" s="2">
        <f>E324*F324</f>
        <v>0</v>
      </c>
      <c r="H324" s="2">
        <v>582.4</v>
      </c>
      <c r="I324" s="2">
        <f>ROUND(H324-G324, 2)</f>
        <v>0</v>
      </c>
      <c r="J324">
        <f>IF(ABS(I324)&gt;0.01, "Priority 3", "None")</f>
        <v>0</v>
      </c>
    </row>
    <row r="325" spans="1:10">
      <c r="A325" t="s">
        <v>1395</v>
      </c>
      <c r="B325" t="s">
        <v>1313</v>
      </c>
      <c r="C325">
        <v>24</v>
      </c>
      <c r="D325">
        <v>23.3</v>
      </c>
      <c r="E325">
        <f>MAX(ROUNDUP(D325, 0), C325)</f>
        <v>0</v>
      </c>
      <c r="F325" s="2">
        <v>10.4</v>
      </c>
      <c r="G325" s="2">
        <f>E325*F325</f>
        <v>0</v>
      </c>
      <c r="H325" s="2">
        <v>249.6</v>
      </c>
      <c r="I325" s="2">
        <f>ROUND(H325-G325, 2)</f>
        <v>0</v>
      </c>
      <c r="J325">
        <f>IF(ABS(I325)&gt;0.01, "Priority 3", "None")</f>
        <v>0</v>
      </c>
    </row>
    <row r="326" spans="1:10">
      <c r="A326" t="s">
        <v>1396</v>
      </c>
      <c r="B326" t="s">
        <v>1313</v>
      </c>
      <c r="C326">
        <v>36</v>
      </c>
      <c r="D326">
        <v>19</v>
      </c>
      <c r="E326">
        <f>MAX(ROUNDUP(D326, 0), C326)</f>
        <v>0</v>
      </c>
      <c r="F326" s="2">
        <v>10.4</v>
      </c>
      <c r="G326" s="2">
        <f>E326*F326</f>
        <v>0</v>
      </c>
      <c r="H326" s="2">
        <v>374.4</v>
      </c>
      <c r="I326" s="2">
        <f>ROUND(H326-G326, 2)</f>
        <v>0</v>
      </c>
      <c r="J326">
        <f>IF(ABS(I326)&gt;0.01, "Priority 3", "None")</f>
        <v>0</v>
      </c>
    </row>
    <row r="327" spans="1:10">
      <c r="A327" t="s">
        <v>1397</v>
      </c>
      <c r="B327" t="s">
        <v>1313</v>
      </c>
      <c r="C327">
        <v>32</v>
      </c>
      <c r="D327">
        <v>25.7</v>
      </c>
      <c r="E327">
        <f>MAX(ROUNDUP(D327, 0), C327)</f>
        <v>0</v>
      </c>
      <c r="F327" s="2">
        <v>10.4</v>
      </c>
      <c r="G327" s="2">
        <f>E327*F327</f>
        <v>0</v>
      </c>
      <c r="H327" s="2">
        <v>332.8</v>
      </c>
      <c r="I327" s="2">
        <f>ROUND(H327-G327, 2)</f>
        <v>0</v>
      </c>
      <c r="J327">
        <f>IF(ABS(I327)&gt;0.01, "Priority 3", "None")</f>
        <v>0</v>
      </c>
    </row>
    <row r="328" spans="1:10">
      <c r="A328" t="s">
        <v>1398</v>
      </c>
      <c r="B328" t="s">
        <v>1313</v>
      </c>
      <c r="C328">
        <v>32</v>
      </c>
      <c r="D328">
        <v>33.8</v>
      </c>
      <c r="E328">
        <f>MAX(ROUNDUP(D328, 0), C328)</f>
        <v>0</v>
      </c>
      <c r="F328" s="2">
        <v>10.4</v>
      </c>
      <c r="G328" s="2">
        <f>E328*F328</f>
        <v>0</v>
      </c>
      <c r="H328" s="2">
        <v>353.6</v>
      </c>
      <c r="I328" s="2">
        <f>ROUND(H328-G328, 2)</f>
        <v>0</v>
      </c>
      <c r="J328">
        <f>IF(ABS(I328)&gt;0.01, "Priority 3", "None")</f>
        <v>0</v>
      </c>
    </row>
    <row r="329" spans="1:10">
      <c r="A329" t="s">
        <v>1399</v>
      </c>
      <c r="B329" t="s">
        <v>1313</v>
      </c>
      <c r="C329">
        <v>32</v>
      </c>
      <c r="D329">
        <v>32.3</v>
      </c>
      <c r="E329">
        <f>MAX(ROUNDUP(D329, 0), C329)</f>
        <v>0</v>
      </c>
      <c r="F329" s="2">
        <v>10.4</v>
      </c>
      <c r="G329" s="2">
        <f>E329*F329</f>
        <v>0</v>
      </c>
      <c r="H329" s="2">
        <v>343.2</v>
      </c>
      <c r="I329" s="2">
        <f>ROUND(H329-G329, 2)</f>
        <v>0</v>
      </c>
      <c r="J329">
        <f>IF(ABS(I329)&gt;0.01, "Priority 3", "None")</f>
        <v>0</v>
      </c>
    </row>
    <row r="330" spans="1:10">
      <c r="A330" t="s">
        <v>1400</v>
      </c>
      <c r="B330" t="s">
        <v>1313</v>
      </c>
      <c r="C330">
        <v>24</v>
      </c>
      <c r="D330">
        <v>27.2</v>
      </c>
      <c r="E330">
        <f>MAX(ROUNDUP(D330, 0), C330)</f>
        <v>0</v>
      </c>
      <c r="F330" s="2">
        <v>10.4</v>
      </c>
      <c r="G330" s="2">
        <f>E330*F330</f>
        <v>0</v>
      </c>
      <c r="H330" s="2">
        <v>291.2</v>
      </c>
      <c r="I330" s="2">
        <f>ROUND(H330-G330, 2)</f>
        <v>0</v>
      </c>
      <c r="J330">
        <f>IF(ABS(I330)&gt;0.01, "Priority 3", "None")</f>
        <v>0</v>
      </c>
    </row>
    <row r="331" spans="1:10">
      <c r="A331" t="s">
        <v>1401</v>
      </c>
      <c r="B331" t="s">
        <v>1313</v>
      </c>
      <c r="C331">
        <v>36</v>
      </c>
      <c r="D331">
        <v>31.6</v>
      </c>
      <c r="E331">
        <f>MAX(ROUNDUP(D331, 0), C331)</f>
        <v>0</v>
      </c>
      <c r="F331" s="2">
        <v>10.4</v>
      </c>
      <c r="G331" s="2">
        <f>E331*F331</f>
        <v>0</v>
      </c>
      <c r="H331" s="2">
        <v>374.4</v>
      </c>
      <c r="I331" s="2">
        <f>ROUND(H331-G331, 2)</f>
        <v>0</v>
      </c>
      <c r="J331">
        <f>IF(ABS(I331)&gt;0.01, "Priority 3", "None")</f>
        <v>0</v>
      </c>
    </row>
    <row r="332" spans="1:10">
      <c r="A332" t="s">
        <v>1402</v>
      </c>
      <c r="B332" t="s">
        <v>1313</v>
      </c>
      <c r="C332">
        <v>24</v>
      </c>
      <c r="D332">
        <v>30.1</v>
      </c>
      <c r="E332">
        <f>MAX(ROUNDUP(D332, 0), C332)</f>
        <v>0</v>
      </c>
      <c r="F332" s="2">
        <v>10.4</v>
      </c>
      <c r="G332" s="2">
        <f>E332*F332</f>
        <v>0</v>
      </c>
      <c r="H332" s="2">
        <v>322.4</v>
      </c>
      <c r="I332" s="2">
        <f>ROUND(H332-G332, 2)</f>
        <v>0</v>
      </c>
      <c r="J332">
        <f>IF(ABS(I332)&gt;0.01, "Priority 3", "None")</f>
        <v>0</v>
      </c>
    </row>
    <row r="333" spans="1:10">
      <c r="A333" t="s">
        <v>1403</v>
      </c>
      <c r="B333" t="s">
        <v>1313</v>
      </c>
      <c r="C333">
        <v>40</v>
      </c>
      <c r="D333">
        <v>48.8</v>
      </c>
      <c r="E333">
        <f>MAX(ROUNDUP(D333, 0), C333)</f>
        <v>0</v>
      </c>
      <c r="F333" s="2">
        <v>10.4</v>
      </c>
      <c r="G333" s="2">
        <f>E333*F333</f>
        <v>0</v>
      </c>
      <c r="H333" s="2">
        <v>509.6</v>
      </c>
      <c r="I333" s="2">
        <f>ROUND(H333-G333, 2)</f>
        <v>0</v>
      </c>
      <c r="J333">
        <f>IF(ABS(I333)&gt;0.01, "Priority 3", "None")</f>
        <v>0</v>
      </c>
    </row>
    <row r="334" spans="1:10">
      <c r="A334" t="s">
        <v>1404</v>
      </c>
      <c r="B334" t="s">
        <v>1313</v>
      </c>
      <c r="C334">
        <v>28</v>
      </c>
      <c r="D334">
        <v>36.2</v>
      </c>
      <c r="E334">
        <f>MAX(ROUNDUP(D334, 0), C334)</f>
        <v>0</v>
      </c>
      <c r="F334" s="2">
        <v>10.4</v>
      </c>
      <c r="G334" s="2">
        <f>E334*F334</f>
        <v>0</v>
      </c>
      <c r="H334" s="2">
        <v>384.8</v>
      </c>
      <c r="I334" s="2">
        <f>ROUND(H334-G334, 2)</f>
        <v>0</v>
      </c>
      <c r="J334">
        <f>IF(ABS(I334)&gt;0.01, "Priority 3", "None")</f>
        <v>0</v>
      </c>
    </row>
    <row r="335" spans="1:10">
      <c r="A335" t="s">
        <v>1405</v>
      </c>
      <c r="B335" t="s">
        <v>1313</v>
      </c>
      <c r="C335">
        <v>32</v>
      </c>
      <c r="D335">
        <v>40.1</v>
      </c>
      <c r="E335">
        <f>MAX(ROUNDUP(D335, 0), C335)</f>
        <v>0</v>
      </c>
      <c r="F335" s="2">
        <v>10.4</v>
      </c>
      <c r="G335" s="2">
        <f>E335*F335</f>
        <v>0</v>
      </c>
      <c r="H335" s="2">
        <v>426.4</v>
      </c>
      <c r="I335" s="2">
        <f>ROUND(H335-G335, 2)</f>
        <v>0</v>
      </c>
      <c r="J335">
        <f>IF(ABS(I335)&gt;0.01, "Priority 3", "None")</f>
        <v>0</v>
      </c>
    </row>
    <row r="336" spans="1:10">
      <c r="A336" t="s">
        <v>1406</v>
      </c>
      <c r="B336" t="s">
        <v>1313</v>
      </c>
      <c r="C336">
        <v>36</v>
      </c>
      <c r="D336">
        <v>51.6</v>
      </c>
      <c r="E336">
        <f>MAX(ROUNDUP(D336, 0), C336)</f>
        <v>0</v>
      </c>
      <c r="F336" s="2">
        <v>10.4</v>
      </c>
      <c r="G336" s="2">
        <f>E336*F336</f>
        <v>0</v>
      </c>
      <c r="H336" s="2">
        <v>540.8</v>
      </c>
      <c r="I336" s="2">
        <f>ROUND(H336-G336, 2)</f>
        <v>0</v>
      </c>
      <c r="J336">
        <f>IF(ABS(I336)&gt;0.01, "Priority 3", "None")</f>
        <v>0</v>
      </c>
    </row>
    <row r="337" spans="1:10">
      <c r="A337" t="s">
        <v>1407</v>
      </c>
      <c r="B337" t="s">
        <v>1313</v>
      </c>
      <c r="C337">
        <v>36</v>
      </c>
      <c r="D337">
        <v>54.4</v>
      </c>
      <c r="E337">
        <f>MAX(ROUNDUP(D337, 0), C337)</f>
        <v>0</v>
      </c>
      <c r="F337" s="2">
        <v>10.4</v>
      </c>
      <c r="G337" s="2">
        <f>E337*F337</f>
        <v>0</v>
      </c>
      <c r="H337" s="2">
        <v>572</v>
      </c>
      <c r="I337" s="2">
        <f>ROUND(H337-G337, 2)</f>
        <v>0</v>
      </c>
      <c r="J337">
        <f>IF(ABS(I337)&gt;0.01, "Priority 3", "None")</f>
        <v>0</v>
      </c>
    </row>
    <row r="338" spans="1:10">
      <c r="A338" t="s">
        <v>1408</v>
      </c>
      <c r="B338" t="s">
        <v>1313</v>
      </c>
      <c r="C338">
        <v>28</v>
      </c>
      <c r="D338">
        <v>39.5</v>
      </c>
      <c r="E338">
        <f>MAX(ROUNDUP(D338, 0), C338)</f>
        <v>0</v>
      </c>
      <c r="F338" s="2">
        <v>10.4</v>
      </c>
      <c r="G338" s="2">
        <f>E338*F338</f>
        <v>0</v>
      </c>
      <c r="H338" s="2">
        <v>416</v>
      </c>
      <c r="I338" s="2">
        <f>ROUND(H338-G338, 2)</f>
        <v>0</v>
      </c>
      <c r="J338">
        <f>IF(ABS(I338)&gt;0.01, "Priority 3", "None")</f>
        <v>0</v>
      </c>
    </row>
    <row r="339" spans="1:10">
      <c r="A339" t="s">
        <v>1409</v>
      </c>
      <c r="B339" t="s">
        <v>1313</v>
      </c>
      <c r="C339">
        <v>40</v>
      </c>
      <c r="D339">
        <v>29.8</v>
      </c>
      <c r="E339">
        <f>MAX(ROUNDUP(D339, 0), C339)</f>
        <v>0</v>
      </c>
      <c r="F339" s="2">
        <v>10.4</v>
      </c>
      <c r="G339" s="2">
        <f>E339*F339</f>
        <v>0</v>
      </c>
      <c r="H339" s="2">
        <v>416</v>
      </c>
      <c r="I339" s="2">
        <f>ROUND(H339-G339, 2)</f>
        <v>0</v>
      </c>
      <c r="J339">
        <f>IF(ABS(I339)&gt;0.01, "Priority 3", "None")</f>
        <v>0</v>
      </c>
    </row>
    <row r="340" spans="1:10">
      <c r="A340" t="s">
        <v>1410</v>
      </c>
      <c r="B340" t="s">
        <v>1313</v>
      </c>
      <c r="C340">
        <v>24</v>
      </c>
      <c r="D340">
        <v>53.2</v>
      </c>
      <c r="E340">
        <f>MAX(ROUNDUP(D340, 0), C340)</f>
        <v>0</v>
      </c>
      <c r="F340" s="2">
        <v>10.4</v>
      </c>
      <c r="G340" s="2">
        <f>E340*F340</f>
        <v>0</v>
      </c>
      <c r="H340" s="2">
        <v>561.6</v>
      </c>
      <c r="I340" s="2">
        <f>ROUND(H340-G340, 2)</f>
        <v>0</v>
      </c>
      <c r="J340">
        <f>IF(ABS(I340)&gt;0.01, "Priority 3", "None")</f>
        <v>0</v>
      </c>
    </row>
    <row r="341" spans="1:10">
      <c r="A341" t="s">
        <v>1411</v>
      </c>
      <c r="B341" t="s">
        <v>1313</v>
      </c>
      <c r="C341">
        <v>28</v>
      </c>
      <c r="D341">
        <v>33</v>
      </c>
      <c r="E341">
        <f>MAX(ROUNDUP(D341, 0), C341)</f>
        <v>0</v>
      </c>
      <c r="F341" s="2">
        <v>10.4</v>
      </c>
      <c r="G341" s="2">
        <f>E341*F341</f>
        <v>0</v>
      </c>
      <c r="H341" s="2">
        <v>343.2</v>
      </c>
      <c r="I341" s="2">
        <f>ROUND(H341-G341, 2)</f>
        <v>0</v>
      </c>
      <c r="J341">
        <f>IF(ABS(I341)&gt;0.01, "Priority 3", "None")</f>
        <v>0</v>
      </c>
    </row>
    <row r="342" spans="1:10">
      <c r="A342" t="s">
        <v>1412</v>
      </c>
      <c r="B342" t="s">
        <v>1313</v>
      </c>
      <c r="C342">
        <v>40</v>
      </c>
      <c r="D342">
        <v>21</v>
      </c>
      <c r="E342">
        <f>MAX(ROUNDUP(D342, 0), C342)</f>
        <v>0</v>
      </c>
      <c r="F342" s="2">
        <v>10.4</v>
      </c>
      <c r="G342" s="2">
        <f>E342*F342</f>
        <v>0</v>
      </c>
      <c r="H342" s="2">
        <v>416</v>
      </c>
      <c r="I342" s="2">
        <f>ROUND(H342-G342, 2)</f>
        <v>0</v>
      </c>
      <c r="J342">
        <f>IF(ABS(I342)&gt;0.01, "Priority 3", "None")</f>
        <v>0</v>
      </c>
    </row>
    <row r="343" spans="1:10">
      <c r="A343" t="s">
        <v>1413</v>
      </c>
      <c r="B343" t="s">
        <v>1313</v>
      </c>
      <c r="C343">
        <v>28</v>
      </c>
      <c r="D343">
        <v>46.2</v>
      </c>
      <c r="E343">
        <f>MAX(ROUNDUP(D343, 0), C343)</f>
        <v>0</v>
      </c>
      <c r="F343" s="2">
        <v>10.4</v>
      </c>
      <c r="G343" s="2">
        <f>E343*F343</f>
        <v>0</v>
      </c>
      <c r="H343" s="2">
        <v>488.8</v>
      </c>
      <c r="I343" s="2">
        <f>ROUND(H343-G343, 2)</f>
        <v>0</v>
      </c>
      <c r="J343">
        <f>IF(ABS(I343)&gt;0.01, "Priority 3", "None")</f>
        <v>0</v>
      </c>
    </row>
    <row r="344" spans="1:10">
      <c r="A344" t="s">
        <v>1414</v>
      </c>
      <c r="B344" t="s">
        <v>1313</v>
      </c>
      <c r="C344">
        <v>28</v>
      </c>
      <c r="D344">
        <v>21.8</v>
      </c>
      <c r="E344">
        <f>MAX(ROUNDUP(D344, 0), C344)</f>
        <v>0</v>
      </c>
      <c r="F344" s="2">
        <v>10.4</v>
      </c>
      <c r="G344" s="2">
        <f>E344*F344</f>
        <v>0</v>
      </c>
      <c r="H344" s="2">
        <v>291.2</v>
      </c>
      <c r="I344" s="2">
        <f>ROUND(H344-G344, 2)</f>
        <v>0</v>
      </c>
      <c r="J344">
        <f>IF(ABS(I344)&gt;0.01, "Priority 3", "None")</f>
        <v>0</v>
      </c>
    </row>
    <row r="345" spans="1:10">
      <c r="A345" t="s">
        <v>1415</v>
      </c>
      <c r="B345" t="s">
        <v>1313</v>
      </c>
      <c r="C345">
        <v>32</v>
      </c>
      <c r="D345">
        <v>57.9</v>
      </c>
      <c r="E345">
        <f>MAX(ROUNDUP(D345, 0), C345)</f>
        <v>0</v>
      </c>
      <c r="F345" s="2">
        <v>10.4</v>
      </c>
      <c r="G345" s="2">
        <f>E345*F345</f>
        <v>0</v>
      </c>
      <c r="H345" s="2">
        <v>603.2</v>
      </c>
      <c r="I345" s="2">
        <f>ROUND(H345-G345, 2)</f>
        <v>0</v>
      </c>
      <c r="J345">
        <f>IF(ABS(I345)&gt;0.01, "Priority 3", "None")</f>
        <v>0</v>
      </c>
    </row>
    <row r="346" spans="1:10">
      <c r="A346" t="s">
        <v>1416</v>
      </c>
      <c r="B346" t="s">
        <v>1313</v>
      </c>
      <c r="C346">
        <v>24</v>
      </c>
      <c r="D346">
        <v>26</v>
      </c>
      <c r="E346">
        <f>MAX(ROUNDUP(D346, 0), C346)</f>
        <v>0</v>
      </c>
      <c r="F346" s="2">
        <v>10.4</v>
      </c>
      <c r="G346" s="2">
        <f>E346*F346</f>
        <v>0</v>
      </c>
      <c r="H346" s="2">
        <v>270.4</v>
      </c>
      <c r="I346" s="2">
        <f>ROUND(H346-G346, 2)</f>
        <v>0</v>
      </c>
      <c r="J346">
        <f>IF(ABS(I346)&gt;0.01, "Priority 3", "None")</f>
        <v>0</v>
      </c>
    </row>
    <row r="347" spans="1:10">
      <c r="A347" t="s">
        <v>1417</v>
      </c>
      <c r="B347" t="s">
        <v>1313</v>
      </c>
      <c r="C347">
        <v>24</v>
      </c>
      <c r="D347">
        <v>41.5</v>
      </c>
      <c r="E347">
        <f>MAX(ROUNDUP(D347, 0), C347)</f>
        <v>0</v>
      </c>
      <c r="F347" s="2">
        <v>10.4</v>
      </c>
      <c r="G347" s="2">
        <f>E347*F347</f>
        <v>0</v>
      </c>
      <c r="H347" s="2">
        <v>436.8</v>
      </c>
      <c r="I347" s="2">
        <f>ROUND(H347-G347, 2)</f>
        <v>0</v>
      </c>
      <c r="J347">
        <f>IF(ABS(I347)&gt;0.01, "Priority 3", "None")</f>
        <v>0</v>
      </c>
    </row>
    <row r="348" spans="1:10">
      <c r="A348" t="s">
        <v>1418</v>
      </c>
      <c r="B348" t="s">
        <v>1313</v>
      </c>
      <c r="C348">
        <v>28</v>
      </c>
      <c r="D348">
        <v>59.8</v>
      </c>
      <c r="E348">
        <f>MAX(ROUNDUP(D348, 0), C348)</f>
        <v>0</v>
      </c>
      <c r="F348" s="2">
        <v>10.4</v>
      </c>
      <c r="G348" s="2">
        <f>E348*F348</f>
        <v>0</v>
      </c>
      <c r="H348" s="2">
        <v>624</v>
      </c>
      <c r="I348" s="2">
        <f>ROUND(H348-G348, 2)</f>
        <v>0</v>
      </c>
      <c r="J348">
        <f>IF(ABS(I348)&gt;0.01, "Priority 3", "None")</f>
        <v>0</v>
      </c>
    </row>
    <row r="349" spans="1:10">
      <c r="A349" t="s">
        <v>1419</v>
      </c>
      <c r="B349" t="s">
        <v>1313</v>
      </c>
      <c r="C349">
        <v>28</v>
      </c>
      <c r="D349">
        <v>56.9</v>
      </c>
      <c r="E349">
        <f>MAX(ROUNDUP(D349, 0), C349)</f>
        <v>0</v>
      </c>
      <c r="F349" s="2">
        <v>10.4</v>
      </c>
      <c r="G349" s="2">
        <f>E349*F349</f>
        <v>0</v>
      </c>
      <c r="H349" s="2">
        <v>592.8</v>
      </c>
      <c r="I349" s="2">
        <f>ROUND(H349-G349, 2)</f>
        <v>0</v>
      </c>
      <c r="J349">
        <f>IF(ABS(I349)&gt;0.01, "Priority 3", "None")</f>
        <v>0</v>
      </c>
    </row>
    <row r="350" spans="1:10">
      <c r="A350" t="s">
        <v>1420</v>
      </c>
      <c r="B350" t="s">
        <v>1313</v>
      </c>
      <c r="C350">
        <v>24</v>
      </c>
      <c r="D350">
        <v>48.2</v>
      </c>
      <c r="E350">
        <f>MAX(ROUNDUP(D350, 0), C350)</f>
        <v>0</v>
      </c>
      <c r="F350" s="2">
        <v>10.4</v>
      </c>
      <c r="G350" s="2">
        <f>E350*F350</f>
        <v>0</v>
      </c>
      <c r="H350" s="2">
        <v>509.6</v>
      </c>
      <c r="I350" s="2">
        <f>ROUND(H350-G350, 2)</f>
        <v>0</v>
      </c>
      <c r="J350">
        <f>IF(ABS(I350)&gt;0.01, "Priority 3", "None")</f>
        <v>0</v>
      </c>
    </row>
    <row r="351" spans="1:10">
      <c r="A351" t="s">
        <v>1421</v>
      </c>
      <c r="B351" t="s">
        <v>1313</v>
      </c>
      <c r="C351">
        <v>28</v>
      </c>
      <c r="D351">
        <v>36</v>
      </c>
      <c r="E351">
        <f>MAX(ROUNDUP(D351, 0), C351)</f>
        <v>0</v>
      </c>
      <c r="F351" s="2">
        <v>10.4</v>
      </c>
      <c r="G351" s="2">
        <f>E351*F351</f>
        <v>0</v>
      </c>
      <c r="H351" s="2">
        <v>374.4</v>
      </c>
      <c r="I351" s="2">
        <f>ROUND(H351-G351, 2)</f>
        <v>0</v>
      </c>
      <c r="J351">
        <f>IF(ABS(I351)&gt;0.01, "Priority 3", "None")</f>
        <v>0</v>
      </c>
    </row>
    <row r="352" spans="1:10">
      <c r="A352" t="s">
        <v>1422</v>
      </c>
      <c r="B352" t="s">
        <v>1313</v>
      </c>
      <c r="C352">
        <v>32</v>
      </c>
      <c r="D352">
        <v>33.2</v>
      </c>
      <c r="E352">
        <f>MAX(ROUNDUP(D352, 0), C352)</f>
        <v>0</v>
      </c>
      <c r="F352" s="2">
        <v>10.4</v>
      </c>
      <c r="G352" s="2">
        <f>E352*F352</f>
        <v>0</v>
      </c>
      <c r="H352" s="2">
        <v>353.6</v>
      </c>
      <c r="I352" s="2">
        <f>ROUND(H352-G352, 2)</f>
        <v>0</v>
      </c>
      <c r="J352">
        <f>IF(ABS(I352)&gt;0.01, "Priority 3", "None")</f>
        <v>0</v>
      </c>
    </row>
    <row r="353" spans="1:10">
      <c r="A353" t="s">
        <v>1423</v>
      </c>
      <c r="B353" t="s">
        <v>1313</v>
      </c>
      <c r="C353">
        <v>32</v>
      </c>
      <c r="D353">
        <v>42.5</v>
      </c>
      <c r="E353">
        <f>MAX(ROUNDUP(D353, 0), C353)</f>
        <v>0</v>
      </c>
      <c r="F353" s="2">
        <v>10.4</v>
      </c>
      <c r="G353" s="2">
        <f>E353*F353</f>
        <v>0</v>
      </c>
      <c r="H353" s="2">
        <v>447.2</v>
      </c>
      <c r="I353" s="2">
        <f>ROUND(H353-G353, 2)</f>
        <v>0</v>
      </c>
      <c r="J353">
        <f>IF(ABS(I353)&gt;0.01, "Priority 3", "None")</f>
        <v>0</v>
      </c>
    </row>
    <row r="354" spans="1:10">
      <c r="A354" t="s">
        <v>1424</v>
      </c>
      <c r="B354" t="s">
        <v>1313</v>
      </c>
      <c r="C354">
        <v>32</v>
      </c>
      <c r="D354">
        <v>38.7</v>
      </c>
      <c r="E354">
        <f>MAX(ROUNDUP(D354, 0), C354)</f>
        <v>0</v>
      </c>
      <c r="F354" s="2">
        <v>10.4</v>
      </c>
      <c r="G354" s="2">
        <f>E354*F354</f>
        <v>0</v>
      </c>
      <c r="H354" s="2">
        <v>405.6</v>
      </c>
      <c r="I354" s="2">
        <f>ROUND(H354-G354, 2)</f>
        <v>0</v>
      </c>
      <c r="J354">
        <f>IF(ABS(I354)&gt;0.01, "Priority 3", "None")</f>
        <v>0</v>
      </c>
    </row>
    <row r="355" spans="1:10">
      <c r="A355" t="s">
        <v>1425</v>
      </c>
      <c r="B355" t="s">
        <v>1313</v>
      </c>
      <c r="C355">
        <v>28</v>
      </c>
      <c r="D355">
        <v>22.5</v>
      </c>
      <c r="E355">
        <f>MAX(ROUNDUP(D355, 0), C355)</f>
        <v>0</v>
      </c>
      <c r="F355" s="2">
        <v>10.4</v>
      </c>
      <c r="G355" s="2">
        <f>E355*F355</f>
        <v>0</v>
      </c>
      <c r="H355" s="2">
        <v>291.2</v>
      </c>
      <c r="I355" s="2">
        <f>ROUND(H355-G355, 2)</f>
        <v>0</v>
      </c>
      <c r="J355">
        <f>IF(ABS(I355)&gt;0.01, "Priority 3", "None")</f>
        <v>0</v>
      </c>
    </row>
    <row r="356" spans="1:10">
      <c r="A356" t="s">
        <v>1426</v>
      </c>
      <c r="B356" t="s">
        <v>1313</v>
      </c>
      <c r="C356">
        <v>24</v>
      </c>
      <c r="D356">
        <v>45.6</v>
      </c>
      <c r="E356">
        <f>MAX(ROUNDUP(D356, 0), C356)</f>
        <v>0</v>
      </c>
      <c r="F356" s="2">
        <v>10.4</v>
      </c>
      <c r="G356" s="2">
        <f>E356*F356</f>
        <v>0</v>
      </c>
      <c r="H356" s="2">
        <v>478.4</v>
      </c>
      <c r="I356" s="2">
        <f>ROUND(H356-G356, 2)</f>
        <v>0</v>
      </c>
      <c r="J356">
        <f>IF(ABS(I356)&gt;0.01, "Priority 3", "None")</f>
        <v>0</v>
      </c>
    </row>
    <row r="357" spans="1:10">
      <c r="A357" t="s">
        <v>1427</v>
      </c>
      <c r="B357" t="s">
        <v>1313</v>
      </c>
      <c r="C357">
        <v>24</v>
      </c>
      <c r="D357">
        <v>39.8</v>
      </c>
      <c r="E357">
        <f>MAX(ROUNDUP(D357, 0), C357)</f>
        <v>0</v>
      </c>
      <c r="F357" s="2">
        <v>10.4</v>
      </c>
      <c r="G357" s="2">
        <f>E357*F357</f>
        <v>0</v>
      </c>
      <c r="H357" s="2">
        <v>416</v>
      </c>
      <c r="I357" s="2">
        <f>ROUND(H357-G357, 2)</f>
        <v>0</v>
      </c>
      <c r="J357">
        <f>IF(ABS(I357)&gt;0.01, "Priority 3", "None")</f>
        <v>0</v>
      </c>
    </row>
    <row r="358" spans="1:10">
      <c r="A358" t="s">
        <v>1428</v>
      </c>
      <c r="B358" t="s">
        <v>1313</v>
      </c>
      <c r="C358">
        <v>28</v>
      </c>
      <c r="D358">
        <v>27.8</v>
      </c>
      <c r="E358">
        <f>MAX(ROUNDUP(D358, 0), C358)</f>
        <v>0</v>
      </c>
      <c r="F358" s="2">
        <v>10.4</v>
      </c>
      <c r="G358" s="2">
        <f>E358*F358</f>
        <v>0</v>
      </c>
      <c r="H358" s="2">
        <v>291.2</v>
      </c>
      <c r="I358" s="2">
        <f>ROUND(H358-G358, 2)</f>
        <v>0</v>
      </c>
      <c r="J358">
        <f>IF(ABS(I358)&gt;0.01, "Priority 3", "None")</f>
        <v>0</v>
      </c>
    </row>
    <row r="359" spans="1:10">
      <c r="A359" t="s">
        <v>1429</v>
      </c>
      <c r="B359" t="s">
        <v>1313</v>
      </c>
      <c r="C359">
        <v>28</v>
      </c>
      <c r="D359">
        <v>19.5</v>
      </c>
      <c r="E359">
        <f>MAX(ROUNDUP(D359, 0), C359)</f>
        <v>0</v>
      </c>
      <c r="F359" s="2">
        <v>10.4</v>
      </c>
      <c r="G359" s="2">
        <f>E359*F359</f>
        <v>0</v>
      </c>
      <c r="H359" s="2">
        <v>291.2</v>
      </c>
      <c r="I359" s="2">
        <f>ROUND(H359-G359, 2)</f>
        <v>0</v>
      </c>
      <c r="J359">
        <f>IF(ABS(I359)&gt;0.01, "Priority 3", "None")</f>
        <v>0</v>
      </c>
    </row>
    <row r="360" spans="1:10">
      <c r="A360" t="s">
        <v>1430</v>
      </c>
      <c r="B360" t="s">
        <v>1313</v>
      </c>
      <c r="C360">
        <v>24</v>
      </c>
      <c r="D360">
        <v>35.2</v>
      </c>
      <c r="E360">
        <f>MAX(ROUNDUP(D360, 0), C360)</f>
        <v>0</v>
      </c>
      <c r="F360" s="2">
        <v>10.4</v>
      </c>
      <c r="G360" s="2">
        <f>E360*F360</f>
        <v>0</v>
      </c>
      <c r="H360" s="2">
        <v>374.4</v>
      </c>
      <c r="I360" s="2">
        <f>ROUND(H360-G360, 2)</f>
        <v>0</v>
      </c>
      <c r="J360">
        <f>IF(ABS(I360)&gt;0.01, "Priority 3", "None")</f>
        <v>0</v>
      </c>
    </row>
    <row r="361" spans="1:10">
      <c r="A361" t="s">
        <v>1431</v>
      </c>
      <c r="B361" t="s">
        <v>1313</v>
      </c>
      <c r="C361">
        <v>28</v>
      </c>
      <c r="D361">
        <v>44.8</v>
      </c>
      <c r="E361">
        <f>MAX(ROUNDUP(D361, 0), C361)</f>
        <v>0</v>
      </c>
      <c r="F361" s="2">
        <v>10.4</v>
      </c>
      <c r="G361" s="2">
        <f>E361*F361</f>
        <v>0</v>
      </c>
      <c r="H361" s="2">
        <v>468</v>
      </c>
      <c r="I361" s="2">
        <f>ROUND(H361-G361, 2)</f>
        <v>0</v>
      </c>
      <c r="J361">
        <f>IF(ABS(I361)&gt;0.01, "Priority 3", "None")</f>
        <v>0</v>
      </c>
    </row>
    <row r="362" spans="1:10">
      <c r="A362" t="s">
        <v>1432</v>
      </c>
      <c r="B362" t="s">
        <v>1313</v>
      </c>
      <c r="C362">
        <v>36</v>
      </c>
      <c r="D362">
        <v>29.2</v>
      </c>
      <c r="E362">
        <f>MAX(ROUNDUP(D362, 0), C362)</f>
        <v>0</v>
      </c>
      <c r="F362" s="2">
        <v>10.4</v>
      </c>
      <c r="G362" s="2">
        <f>E362*F362</f>
        <v>0</v>
      </c>
      <c r="H362" s="2">
        <v>374.4</v>
      </c>
      <c r="I362" s="2">
        <f>ROUND(H362-G362, 2)</f>
        <v>0</v>
      </c>
      <c r="J362">
        <f>IF(ABS(I362)&gt;0.01, "Priority 3", "None")</f>
        <v>0</v>
      </c>
    </row>
    <row r="363" spans="1:10">
      <c r="A363" t="s">
        <v>1433</v>
      </c>
      <c r="B363" t="s">
        <v>1313</v>
      </c>
      <c r="C363">
        <v>36</v>
      </c>
      <c r="D363">
        <v>34.2</v>
      </c>
      <c r="E363">
        <f>MAX(ROUNDUP(D363, 0), C363)</f>
        <v>0</v>
      </c>
      <c r="F363" s="2">
        <v>10.4</v>
      </c>
      <c r="G363" s="2">
        <f>E363*F363</f>
        <v>0</v>
      </c>
      <c r="H363" s="2">
        <v>374.4</v>
      </c>
      <c r="I363" s="2">
        <f>ROUND(H363-G363, 2)</f>
        <v>0</v>
      </c>
      <c r="J363">
        <f>IF(ABS(I363)&gt;0.01, "Priority 3", "None")</f>
        <v>0</v>
      </c>
    </row>
    <row r="364" spans="1:10">
      <c r="A364" t="s">
        <v>1434</v>
      </c>
      <c r="B364" t="s">
        <v>1313</v>
      </c>
      <c r="C364">
        <v>32</v>
      </c>
      <c r="D364">
        <v>59.6</v>
      </c>
      <c r="E364">
        <f>MAX(ROUNDUP(D364, 0), C364)</f>
        <v>0</v>
      </c>
      <c r="F364" s="2">
        <v>10.4</v>
      </c>
      <c r="G364" s="2">
        <f>E364*F364</f>
        <v>0</v>
      </c>
      <c r="H364" s="2">
        <v>624</v>
      </c>
      <c r="I364" s="2">
        <f>ROUND(H364-G364, 2)</f>
        <v>0</v>
      </c>
      <c r="J364">
        <f>IF(ABS(I364)&gt;0.01, "Priority 3", "None")</f>
        <v>0</v>
      </c>
    </row>
    <row r="365" spans="1:10">
      <c r="A365" t="s">
        <v>1435</v>
      </c>
      <c r="B365" t="s">
        <v>1313</v>
      </c>
      <c r="C365">
        <v>32</v>
      </c>
      <c r="D365">
        <v>18.3</v>
      </c>
      <c r="E365">
        <f>MAX(ROUNDUP(D365, 0), C365)</f>
        <v>0</v>
      </c>
      <c r="F365" s="2">
        <v>10.4</v>
      </c>
      <c r="G365" s="2">
        <f>E365*F365</f>
        <v>0</v>
      </c>
      <c r="H365" s="2">
        <v>332.8</v>
      </c>
      <c r="I365" s="2">
        <f>ROUND(H365-G365, 2)</f>
        <v>0</v>
      </c>
      <c r="J365">
        <f>IF(ABS(I365)&gt;0.01, "Priority 3", "None")</f>
        <v>0</v>
      </c>
    </row>
    <row r="366" spans="1:10">
      <c r="A366" t="s">
        <v>1436</v>
      </c>
      <c r="B366" t="s">
        <v>1313</v>
      </c>
      <c r="C366">
        <v>24</v>
      </c>
      <c r="D366">
        <v>57</v>
      </c>
      <c r="E366">
        <f>MAX(ROUNDUP(D366, 0), C366)</f>
        <v>0</v>
      </c>
      <c r="F366" s="2">
        <v>10.4</v>
      </c>
      <c r="G366" s="2">
        <f>E366*F366</f>
        <v>0</v>
      </c>
      <c r="H366" s="2">
        <v>592.8</v>
      </c>
      <c r="I366" s="2">
        <f>ROUND(H366-G366, 2)</f>
        <v>0</v>
      </c>
      <c r="J366">
        <f>IF(ABS(I366)&gt;0.01, "Priority 3", "None")</f>
        <v>0</v>
      </c>
    </row>
    <row r="367" spans="1:10">
      <c r="A367" t="s">
        <v>1437</v>
      </c>
      <c r="B367" t="s">
        <v>1313</v>
      </c>
      <c r="C367">
        <v>24</v>
      </c>
      <c r="D367">
        <v>54.3</v>
      </c>
      <c r="E367">
        <f>MAX(ROUNDUP(D367, 0), C367)</f>
        <v>0</v>
      </c>
      <c r="F367" s="2">
        <v>10.4</v>
      </c>
      <c r="G367" s="2">
        <f>E367*F367</f>
        <v>0</v>
      </c>
      <c r="H367" s="2">
        <v>572</v>
      </c>
      <c r="I367" s="2">
        <f>ROUND(H367-G367, 2)</f>
        <v>0</v>
      </c>
      <c r="J367">
        <f>IF(ABS(I367)&gt;0.01, "Priority 3", "None")</f>
        <v>0</v>
      </c>
    </row>
    <row r="368" spans="1:10">
      <c r="A368" t="s">
        <v>1438</v>
      </c>
      <c r="B368" t="s">
        <v>1313</v>
      </c>
      <c r="C368">
        <v>32</v>
      </c>
      <c r="D368">
        <v>44.8</v>
      </c>
      <c r="E368">
        <f>MAX(ROUNDUP(D368, 0), C368)</f>
        <v>0</v>
      </c>
      <c r="F368" s="2">
        <v>10.4</v>
      </c>
      <c r="G368" s="2">
        <f>E368*F368</f>
        <v>0</v>
      </c>
      <c r="H368" s="2">
        <v>468</v>
      </c>
      <c r="I368" s="2">
        <f>ROUND(H368-G368, 2)</f>
        <v>0</v>
      </c>
      <c r="J368">
        <f>IF(ABS(I368)&gt;0.01, "Priority 3", "None")</f>
        <v>0</v>
      </c>
    </row>
    <row r="369" spans="1:10">
      <c r="A369" t="s">
        <v>1439</v>
      </c>
      <c r="B369" t="s">
        <v>1313</v>
      </c>
      <c r="C369">
        <v>40</v>
      </c>
      <c r="D369">
        <v>49.6</v>
      </c>
      <c r="E369">
        <f>MAX(ROUNDUP(D369, 0), C369)</f>
        <v>0</v>
      </c>
      <c r="F369" s="2">
        <v>10.4</v>
      </c>
      <c r="G369" s="2">
        <f>E369*F369</f>
        <v>0</v>
      </c>
      <c r="H369" s="2">
        <v>520</v>
      </c>
      <c r="I369" s="2">
        <f>ROUND(H369-G369, 2)</f>
        <v>0</v>
      </c>
      <c r="J369">
        <f>IF(ABS(I369)&gt;0.01, "Priority 3", "None")</f>
        <v>0</v>
      </c>
    </row>
    <row r="370" spans="1:10">
      <c r="A370" t="s">
        <v>1440</v>
      </c>
      <c r="B370" t="s">
        <v>1313</v>
      </c>
      <c r="C370">
        <v>24</v>
      </c>
      <c r="D370">
        <v>32.5</v>
      </c>
      <c r="E370">
        <f>MAX(ROUNDUP(D370, 0), C370)</f>
        <v>0</v>
      </c>
      <c r="F370" s="2">
        <v>10.4</v>
      </c>
      <c r="G370" s="2">
        <f>E370*F370</f>
        <v>0</v>
      </c>
      <c r="H370" s="2">
        <v>343.2</v>
      </c>
      <c r="I370" s="2">
        <f>ROUND(H370-G370, 2)</f>
        <v>0</v>
      </c>
      <c r="J370">
        <f>IF(ABS(I370)&gt;0.01, "Priority 3", "None")</f>
        <v>0</v>
      </c>
    </row>
    <row r="371" spans="1:10">
      <c r="A371" t="s">
        <v>1441</v>
      </c>
      <c r="B371" t="s">
        <v>1313</v>
      </c>
      <c r="C371">
        <v>40</v>
      </c>
      <c r="D371">
        <v>48.2</v>
      </c>
      <c r="E371">
        <f>MAX(ROUNDUP(D371, 0), C371)</f>
        <v>0</v>
      </c>
      <c r="F371" s="2">
        <v>10.4</v>
      </c>
      <c r="G371" s="2">
        <f>E371*F371</f>
        <v>0</v>
      </c>
      <c r="H371" s="2">
        <v>509.6</v>
      </c>
      <c r="I371" s="2">
        <f>ROUND(H371-G371, 2)</f>
        <v>0</v>
      </c>
      <c r="J371">
        <f>IF(ABS(I371)&gt;0.01, "Priority 3", "None")</f>
        <v>0</v>
      </c>
    </row>
    <row r="372" spans="1:10">
      <c r="A372" t="s">
        <v>1442</v>
      </c>
      <c r="B372" t="s">
        <v>1313</v>
      </c>
      <c r="C372">
        <v>24</v>
      </c>
      <c r="D372">
        <v>59.7</v>
      </c>
      <c r="E372">
        <f>MAX(ROUNDUP(D372, 0), C372)</f>
        <v>0</v>
      </c>
      <c r="F372" s="2">
        <v>10.4</v>
      </c>
      <c r="G372" s="2">
        <f>E372*F372</f>
        <v>0</v>
      </c>
      <c r="H372" s="2">
        <v>624</v>
      </c>
      <c r="I372" s="2">
        <f>ROUND(H372-G372, 2)</f>
        <v>0</v>
      </c>
      <c r="J372">
        <f>IF(ABS(I372)&gt;0.01, "Priority 3", "None")</f>
        <v>0</v>
      </c>
    </row>
    <row r="373" spans="1:10">
      <c r="A373" t="s">
        <v>1443</v>
      </c>
      <c r="B373" t="s">
        <v>1313</v>
      </c>
      <c r="C373">
        <v>24</v>
      </c>
      <c r="D373">
        <v>61.4</v>
      </c>
      <c r="E373">
        <f>MAX(ROUNDUP(D373, 0), C373)</f>
        <v>0</v>
      </c>
      <c r="F373" s="2">
        <v>10.4</v>
      </c>
      <c r="G373" s="2">
        <f>E373*F373</f>
        <v>0</v>
      </c>
      <c r="H373" s="2">
        <v>644.8</v>
      </c>
      <c r="I373" s="2">
        <f>ROUND(H373-G373, 2)</f>
        <v>0</v>
      </c>
      <c r="J373">
        <f>IF(ABS(I373)&gt;0.01, "Priority 3", "None")</f>
        <v>0</v>
      </c>
    </row>
    <row r="374" spans="1:10">
      <c r="A374" t="s">
        <v>1444</v>
      </c>
      <c r="B374" t="s">
        <v>1313</v>
      </c>
      <c r="C374">
        <v>40</v>
      </c>
      <c r="D374">
        <v>48</v>
      </c>
      <c r="E374">
        <f>MAX(ROUNDUP(D374, 0), C374)</f>
        <v>0</v>
      </c>
      <c r="F374" s="2">
        <v>10.4</v>
      </c>
      <c r="G374" s="2">
        <f>E374*F374</f>
        <v>0</v>
      </c>
      <c r="H374" s="2">
        <v>499.2</v>
      </c>
      <c r="I374" s="2">
        <f>ROUND(H374-G374, 2)</f>
        <v>0</v>
      </c>
      <c r="J374">
        <f>IF(ABS(I374)&gt;0.01, "Priority 3", "None")</f>
        <v>0</v>
      </c>
    </row>
    <row r="375" spans="1:10">
      <c r="A375" t="s">
        <v>1445</v>
      </c>
      <c r="B375" t="s">
        <v>1313</v>
      </c>
      <c r="C375">
        <v>24</v>
      </c>
      <c r="D375">
        <v>19.9</v>
      </c>
      <c r="E375">
        <f>MAX(ROUNDUP(D375, 0), C375)</f>
        <v>0</v>
      </c>
      <c r="F375" s="2">
        <v>10.4</v>
      </c>
      <c r="G375" s="2">
        <f>E375*F375</f>
        <v>0</v>
      </c>
      <c r="H375" s="2">
        <v>249.6</v>
      </c>
      <c r="I375" s="2">
        <f>ROUND(H375-G375, 2)</f>
        <v>0</v>
      </c>
      <c r="J375">
        <f>IF(ABS(I375)&gt;0.01, "Priority 3", "None")</f>
        <v>0</v>
      </c>
    </row>
    <row r="376" spans="1:10">
      <c r="A376" t="s">
        <v>1446</v>
      </c>
      <c r="B376" t="s">
        <v>1313</v>
      </c>
      <c r="C376">
        <v>32</v>
      </c>
      <c r="D376">
        <v>19.6</v>
      </c>
      <c r="E376">
        <f>MAX(ROUNDUP(D376, 0), C376)</f>
        <v>0</v>
      </c>
      <c r="F376" s="2">
        <v>10.4</v>
      </c>
      <c r="G376" s="2">
        <f>E376*F376</f>
        <v>0</v>
      </c>
      <c r="H376" s="2">
        <v>332.8</v>
      </c>
      <c r="I376" s="2">
        <f>ROUND(H376-G376, 2)</f>
        <v>0</v>
      </c>
      <c r="J376">
        <f>IF(ABS(I376)&gt;0.01, "Priority 3", "None")</f>
        <v>0</v>
      </c>
    </row>
    <row r="377" spans="1:10">
      <c r="A377" t="s">
        <v>1447</v>
      </c>
      <c r="B377" t="s">
        <v>1313</v>
      </c>
      <c r="C377">
        <v>24</v>
      </c>
      <c r="D377">
        <v>42.6</v>
      </c>
      <c r="E377">
        <f>MAX(ROUNDUP(D377, 0), C377)</f>
        <v>0</v>
      </c>
      <c r="F377" s="2">
        <v>10.4</v>
      </c>
      <c r="G377" s="2">
        <f>E377*F377</f>
        <v>0</v>
      </c>
      <c r="H377" s="2">
        <v>447.2</v>
      </c>
      <c r="I377" s="2">
        <f>ROUND(H377-G377, 2)</f>
        <v>0</v>
      </c>
      <c r="J377">
        <f>IF(ABS(I377)&gt;0.01, "Priority 3", "None")</f>
        <v>0</v>
      </c>
    </row>
    <row r="378" spans="1:10">
      <c r="A378" t="s">
        <v>1448</v>
      </c>
      <c r="B378" t="s">
        <v>1313</v>
      </c>
      <c r="C378">
        <v>40</v>
      </c>
      <c r="D378">
        <v>19.5</v>
      </c>
      <c r="E378">
        <f>MAX(ROUNDUP(D378, 0), C378)</f>
        <v>0</v>
      </c>
      <c r="F378" s="2">
        <v>10.4</v>
      </c>
      <c r="G378" s="2">
        <f>E378*F378</f>
        <v>0</v>
      </c>
      <c r="H378" s="2">
        <v>416</v>
      </c>
      <c r="I378" s="2">
        <f>ROUND(H378-G378, 2)</f>
        <v>0</v>
      </c>
      <c r="J378">
        <f>IF(ABS(I378)&gt;0.01, "Priority 3", "None")</f>
        <v>0</v>
      </c>
    </row>
    <row r="379" spans="1:10">
      <c r="A379" t="s">
        <v>1449</v>
      </c>
      <c r="B379" t="s">
        <v>1313</v>
      </c>
      <c r="C379">
        <v>32</v>
      </c>
      <c r="D379">
        <v>38</v>
      </c>
      <c r="E379">
        <f>MAX(ROUNDUP(D379, 0), C379)</f>
        <v>0</v>
      </c>
      <c r="F379" s="2">
        <v>10.4</v>
      </c>
      <c r="G379" s="2">
        <f>E379*F379</f>
        <v>0</v>
      </c>
      <c r="H379" s="2">
        <v>395.2</v>
      </c>
      <c r="I379" s="2">
        <f>ROUND(H379-G379, 2)</f>
        <v>0</v>
      </c>
      <c r="J379">
        <f>IF(ABS(I379)&gt;0.01, "Priority 3", "None")</f>
        <v>0</v>
      </c>
    </row>
    <row r="380" spans="1:10">
      <c r="A380" t="s">
        <v>1450</v>
      </c>
      <c r="B380" t="s">
        <v>1313</v>
      </c>
      <c r="C380">
        <v>28</v>
      </c>
      <c r="D380">
        <v>60.8</v>
      </c>
      <c r="E380">
        <f>MAX(ROUNDUP(D380, 0), C380)</f>
        <v>0</v>
      </c>
      <c r="F380" s="2">
        <v>10.4</v>
      </c>
      <c r="G380" s="2">
        <f>E380*F380</f>
        <v>0</v>
      </c>
      <c r="H380" s="2">
        <v>634.4</v>
      </c>
      <c r="I380" s="2">
        <f>ROUND(H380-G380, 2)</f>
        <v>0</v>
      </c>
      <c r="J380">
        <f>IF(ABS(I380)&gt;0.01, "Priority 3", "None")</f>
        <v>0</v>
      </c>
    </row>
    <row r="381" spans="1:10">
      <c r="A381" t="s">
        <v>1451</v>
      </c>
      <c r="B381" t="s">
        <v>1313</v>
      </c>
      <c r="C381">
        <v>40</v>
      </c>
      <c r="D381">
        <v>43.1</v>
      </c>
      <c r="E381">
        <f>MAX(ROUNDUP(D381, 0), C381)</f>
        <v>0</v>
      </c>
      <c r="F381" s="2">
        <v>10.4</v>
      </c>
      <c r="G381" s="2">
        <f>E381*F381</f>
        <v>0</v>
      </c>
      <c r="H381" s="2">
        <v>457.6</v>
      </c>
      <c r="I381" s="2">
        <f>ROUND(H381-G381, 2)</f>
        <v>0</v>
      </c>
      <c r="J381">
        <f>IF(ABS(I381)&gt;0.01, "Priority 3", "None")</f>
        <v>0</v>
      </c>
    </row>
    <row r="382" spans="1:10">
      <c r="A382" t="s">
        <v>1452</v>
      </c>
      <c r="B382" t="s">
        <v>1313</v>
      </c>
      <c r="C382">
        <v>28</v>
      </c>
      <c r="D382">
        <v>45.4</v>
      </c>
      <c r="E382">
        <f>MAX(ROUNDUP(D382, 0), C382)</f>
        <v>0</v>
      </c>
      <c r="F382" s="2">
        <v>10.4</v>
      </c>
      <c r="G382" s="2">
        <f>E382*F382</f>
        <v>0</v>
      </c>
      <c r="H382" s="2">
        <v>478.4</v>
      </c>
      <c r="I382" s="2">
        <f>ROUND(H382-G382, 2)</f>
        <v>0</v>
      </c>
      <c r="J382">
        <f>IF(ABS(I382)&gt;0.01, "Priority 3", "None")</f>
        <v>0</v>
      </c>
    </row>
    <row r="383" spans="1:10">
      <c r="A383" t="s">
        <v>1453</v>
      </c>
      <c r="B383" t="s">
        <v>1313</v>
      </c>
      <c r="C383">
        <v>32</v>
      </c>
      <c r="D383">
        <v>33.5</v>
      </c>
      <c r="E383">
        <f>MAX(ROUNDUP(D383, 0), C383)</f>
        <v>0</v>
      </c>
      <c r="F383" s="2">
        <v>10.4</v>
      </c>
      <c r="G383" s="2">
        <f>E383*F383</f>
        <v>0</v>
      </c>
      <c r="H383" s="2">
        <v>353.6</v>
      </c>
      <c r="I383" s="2">
        <f>ROUND(H383-G383, 2)</f>
        <v>0</v>
      </c>
      <c r="J383">
        <f>IF(ABS(I383)&gt;0.01, "Priority 3", "None")</f>
        <v>0</v>
      </c>
    </row>
    <row r="384" spans="1:10">
      <c r="A384" t="s">
        <v>1454</v>
      </c>
      <c r="B384" t="s">
        <v>1313</v>
      </c>
      <c r="C384">
        <v>28</v>
      </c>
      <c r="D384">
        <v>19.6</v>
      </c>
      <c r="E384">
        <f>MAX(ROUNDUP(D384, 0), C384)</f>
        <v>0</v>
      </c>
      <c r="F384" s="2">
        <v>10.4</v>
      </c>
      <c r="G384" s="2">
        <f>E384*F384</f>
        <v>0</v>
      </c>
      <c r="H384" s="2">
        <v>291.2</v>
      </c>
      <c r="I384" s="2">
        <f>ROUND(H384-G384, 2)</f>
        <v>0</v>
      </c>
      <c r="J384">
        <f>IF(ABS(I384)&gt;0.01, "Priority 3", "None")</f>
        <v>0</v>
      </c>
    </row>
    <row r="385" spans="1:10">
      <c r="A385" t="s">
        <v>1455</v>
      </c>
      <c r="B385" t="s">
        <v>1313</v>
      </c>
      <c r="C385">
        <v>36</v>
      </c>
      <c r="D385">
        <v>21.4</v>
      </c>
      <c r="E385">
        <f>MAX(ROUNDUP(D385, 0), C385)</f>
        <v>0</v>
      </c>
      <c r="F385" s="2">
        <v>10.4</v>
      </c>
      <c r="G385" s="2">
        <f>E385*F385</f>
        <v>0</v>
      </c>
      <c r="H385" s="2">
        <v>374.4</v>
      </c>
      <c r="I385" s="2">
        <f>ROUND(H385-G385, 2)</f>
        <v>0</v>
      </c>
      <c r="J385">
        <f>IF(ABS(I385)&gt;0.01, "Priority 3", "None")</f>
        <v>0</v>
      </c>
    </row>
    <row r="386" spans="1:10">
      <c r="A386" t="s">
        <v>1456</v>
      </c>
      <c r="B386" t="s">
        <v>1313</v>
      </c>
      <c r="C386">
        <v>40</v>
      </c>
      <c r="D386">
        <v>43.5</v>
      </c>
      <c r="E386">
        <f>MAX(ROUNDUP(D386, 0), C386)</f>
        <v>0</v>
      </c>
      <c r="F386" s="2">
        <v>10.4</v>
      </c>
      <c r="G386" s="2">
        <f>E386*F386</f>
        <v>0</v>
      </c>
      <c r="H386" s="2">
        <v>457.6</v>
      </c>
      <c r="I386" s="2">
        <f>ROUND(H386-G386, 2)</f>
        <v>0</v>
      </c>
      <c r="J386">
        <f>IF(ABS(I386)&gt;0.01, "Priority 3", "None")</f>
        <v>0</v>
      </c>
    </row>
    <row r="387" spans="1:10">
      <c r="A387" t="s">
        <v>1457</v>
      </c>
      <c r="B387" t="s">
        <v>1313</v>
      </c>
      <c r="C387">
        <v>36</v>
      </c>
      <c r="D387">
        <v>36.7</v>
      </c>
      <c r="E387">
        <f>MAX(ROUNDUP(D387, 0), C387)</f>
        <v>0</v>
      </c>
      <c r="F387" s="2">
        <v>10.4</v>
      </c>
      <c r="G387" s="2">
        <f>E387*F387</f>
        <v>0</v>
      </c>
      <c r="H387" s="2">
        <v>384.8</v>
      </c>
      <c r="I387" s="2">
        <f>ROUND(H387-G387, 2)</f>
        <v>0</v>
      </c>
      <c r="J387">
        <f>IF(ABS(I387)&gt;0.01, "Priority 3", "None")</f>
        <v>0</v>
      </c>
    </row>
    <row r="388" spans="1:10">
      <c r="A388" t="s">
        <v>1458</v>
      </c>
      <c r="B388" t="s">
        <v>1313</v>
      </c>
      <c r="C388">
        <v>36</v>
      </c>
      <c r="D388">
        <v>37.2</v>
      </c>
      <c r="E388">
        <f>MAX(ROUNDUP(D388, 0), C388)</f>
        <v>0</v>
      </c>
      <c r="F388" s="2">
        <v>10.4</v>
      </c>
      <c r="G388" s="2">
        <f>E388*F388</f>
        <v>0</v>
      </c>
      <c r="H388" s="2">
        <v>395.2</v>
      </c>
      <c r="I388" s="2">
        <f>ROUND(H388-G388, 2)</f>
        <v>0</v>
      </c>
      <c r="J388">
        <f>IF(ABS(I388)&gt;0.01, "Priority 3", "None")</f>
        <v>0</v>
      </c>
    </row>
    <row r="389" spans="1:10">
      <c r="A389" t="s">
        <v>1459</v>
      </c>
      <c r="B389" t="s">
        <v>1313</v>
      </c>
      <c r="C389">
        <v>28</v>
      </c>
      <c r="D389">
        <v>40.6</v>
      </c>
      <c r="E389">
        <f>MAX(ROUNDUP(D389, 0), C389)</f>
        <v>0</v>
      </c>
      <c r="F389" s="2">
        <v>10.4</v>
      </c>
      <c r="G389" s="2">
        <f>E389*F389</f>
        <v>0</v>
      </c>
      <c r="H389" s="2">
        <v>426.4</v>
      </c>
      <c r="I389" s="2">
        <f>ROUND(H389-G389, 2)</f>
        <v>0</v>
      </c>
      <c r="J389">
        <f>IF(ABS(I389)&gt;0.01, "Priority 3", "None")</f>
        <v>0</v>
      </c>
    </row>
    <row r="390" spans="1:10">
      <c r="A390" t="s">
        <v>1460</v>
      </c>
      <c r="B390" t="s">
        <v>1313</v>
      </c>
      <c r="C390">
        <v>32</v>
      </c>
      <c r="D390">
        <v>33.8</v>
      </c>
      <c r="E390">
        <f>MAX(ROUNDUP(D390, 0), C390)</f>
        <v>0</v>
      </c>
      <c r="F390" s="2">
        <v>10.4</v>
      </c>
      <c r="G390" s="2">
        <f>E390*F390</f>
        <v>0</v>
      </c>
      <c r="H390" s="2">
        <v>353.6</v>
      </c>
      <c r="I390" s="2">
        <f>ROUND(H390-G390, 2)</f>
        <v>0</v>
      </c>
      <c r="J390">
        <f>IF(ABS(I390)&gt;0.01, "Priority 3", "None")</f>
        <v>0</v>
      </c>
    </row>
    <row r="391" spans="1:10">
      <c r="A391" t="s">
        <v>1461</v>
      </c>
      <c r="B391" t="s">
        <v>1313</v>
      </c>
      <c r="C391">
        <v>32</v>
      </c>
      <c r="D391">
        <v>61.3</v>
      </c>
      <c r="E391">
        <f>MAX(ROUNDUP(D391, 0), C391)</f>
        <v>0</v>
      </c>
      <c r="F391" s="2">
        <v>10.4</v>
      </c>
      <c r="G391" s="2">
        <f>E391*F391</f>
        <v>0</v>
      </c>
      <c r="H391" s="2">
        <v>644.8</v>
      </c>
      <c r="I391" s="2">
        <f>ROUND(H391-G391, 2)</f>
        <v>0</v>
      </c>
      <c r="J391">
        <f>IF(ABS(I391)&gt;0.01, "Priority 3", "None")</f>
        <v>0</v>
      </c>
    </row>
    <row r="392" spans="1:10">
      <c r="A392" t="s">
        <v>1462</v>
      </c>
      <c r="B392" t="s">
        <v>1313</v>
      </c>
      <c r="C392">
        <v>24</v>
      </c>
      <c r="D392">
        <v>48.7</v>
      </c>
      <c r="E392">
        <f>MAX(ROUNDUP(D392, 0), C392)</f>
        <v>0</v>
      </c>
      <c r="F392" s="2">
        <v>10.4</v>
      </c>
      <c r="G392" s="2">
        <f>E392*F392</f>
        <v>0</v>
      </c>
      <c r="H392" s="2">
        <v>509.6</v>
      </c>
      <c r="I392" s="2">
        <f>ROUND(H392-G392, 2)</f>
        <v>0</v>
      </c>
      <c r="J392">
        <f>IF(ABS(I392)&gt;0.01, "Priority 3", "None")</f>
        <v>0</v>
      </c>
    </row>
    <row r="393" spans="1:10">
      <c r="A393" t="s">
        <v>1463</v>
      </c>
      <c r="B393" t="s">
        <v>1313</v>
      </c>
      <c r="C393">
        <v>32</v>
      </c>
      <c r="D393">
        <v>57.3</v>
      </c>
      <c r="E393">
        <f>MAX(ROUNDUP(D393, 0), C393)</f>
        <v>0</v>
      </c>
      <c r="F393" s="2">
        <v>10.4</v>
      </c>
      <c r="G393" s="2">
        <f>E393*F393</f>
        <v>0</v>
      </c>
      <c r="H393" s="2">
        <v>603.2</v>
      </c>
      <c r="I393" s="2">
        <f>ROUND(H393-G393, 2)</f>
        <v>0</v>
      </c>
      <c r="J393">
        <f>IF(ABS(I393)&gt;0.01, "Priority 3", "None")</f>
        <v>0</v>
      </c>
    </row>
    <row r="394" spans="1:10">
      <c r="A394" t="s">
        <v>1464</v>
      </c>
      <c r="B394" t="s">
        <v>1313</v>
      </c>
      <c r="C394">
        <v>32</v>
      </c>
      <c r="D394">
        <v>50.3</v>
      </c>
      <c r="E394">
        <f>MAX(ROUNDUP(D394, 0), C394)</f>
        <v>0</v>
      </c>
      <c r="F394" s="2">
        <v>10.4</v>
      </c>
      <c r="G394" s="2">
        <f>E394*F394</f>
        <v>0</v>
      </c>
      <c r="H394" s="2">
        <v>530.4</v>
      </c>
      <c r="I394" s="2">
        <f>ROUND(H394-G394, 2)</f>
        <v>0</v>
      </c>
      <c r="J394">
        <f>IF(ABS(I394)&gt;0.01, "Priority 3", "None")</f>
        <v>0</v>
      </c>
    </row>
    <row r="395" spans="1:10">
      <c r="A395" t="s">
        <v>1465</v>
      </c>
      <c r="B395" t="s">
        <v>1313</v>
      </c>
      <c r="C395">
        <v>28</v>
      </c>
      <c r="D395">
        <v>35.6</v>
      </c>
      <c r="E395">
        <f>MAX(ROUNDUP(D395, 0), C395)</f>
        <v>0</v>
      </c>
      <c r="F395" s="2">
        <v>10.4</v>
      </c>
      <c r="G395" s="2">
        <f>E395*F395</f>
        <v>0</v>
      </c>
      <c r="H395" s="2">
        <v>374.4</v>
      </c>
      <c r="I395" s="2">
        <f>ROUND(H395-G395, 2)</f>
        <v>0</v>
      </c>
      <c r="J395">
        <f>IF(ABS(I395)&gt;0.01, "Priority 3", "None")</f>
        <v>0</v>
      </c>
    </row>
    <row r="396" spans="1:10">
      <c r="A396" t="s">
        <v>1466</v>
      </c>
      <c r="B396" t="s">
        <v>1313</v>
      </c>
      <c r="C396">
        <v>32</v>
      </c>
      <c r="D396">
        <v>22.5</v>
      </c>
      <c r="E396">
        <f>MAX(ROUNDUP(D396, 0), C396)</f>
        <v>0</v>
      </c>
      <c r="F396" s="2">
        <v>10.4</v>
      </c>
      <c r="G396" s="2">
        <f>E396*F396</f>
        <v>0</v>
      </c>
      <c r="H396" s="2">
        <v>332.8</v>
      </c>
      <c r="I396" s="2">
        <f>ROUND(H396-G396, 2)</f>
        <v>0</v>
      </c>
      <c r="J396">
        <f>IF(ABS(I396)&gt;0.01, "Priority 3", "None")</f>
        <v>0</v>
      </c>
    </row>
    <row r="397" spans="1:10">
      <c r="A397" t="s">
        <v>1467</v>
      </c>
      <c r="B397" t="s">
        <v>1313</v>
      </c>
      <c r="C397">
        <v>40</v>
      </c>
      <c r="D397">
        <v>61.5</v>
      </c>
      <c r="E397">
        <f>MAX(ROUNDUP(D397, 0), C397)</f>
        <v>0</v>
      </c>
      <c r="F397" s="2">
        <v>10.4</v>
      </c>
      <c r="G397" s="2">
        <f>E397*F397</f>
        <v>0</v>
      </c>
      <c r="H397" s="2">
        <v>644.8</v>
      </c>
      <c r="I397" s="2">
        <f>ROUND(H397-G397, 2)</f>
        <v>0</v>
      </c>
      <c r="J397">
        <f>IF(ABS(I397)&gt;0.01, "Priority 3", "None")</f>
        <v>0</v>
      </c>
    </row>
    <row r="398" spans="1:10">
      <c r="A398" t="s">
        <v>1468</v>
      </c>
      <c r="B398" t="s">
        <v>1313</v>
      </c>
      <c r="C398">
        <v>28</v>
      </c>
      <c r="D398">
        <v>20.5</v>
      </c>
      <c r="E398">
        <f>MAX(ROUNDUP(D398, 0), C398)</f>
        <v>0</v>
      </c>
      <c r="F398" s="2">
        <v>10.4</v>
      </c>
      <c r="G398" s="2">
        <f>E398*F398</f>
        <v>0</v>
      </c>
      <c r="H398" s="2">
        <v>291.2</v>
      </c>
      <c r="I398" s="2">
        <f>ROUND(H398-G398, 2)</f>
        <v>0</v>
      </c>
      <c r="J398">
        <f>IF(ABS(I398)&gt;0.01, "Priority 3", "None")</f>
        <v>0</v>
      </c>
    </row>
    <row r="399" spans="1:10">
      <c r="A399" t="s">
        <v>1469</v>
      </c>
      <c r="B399" t="s">
        <v>1313</v>
      </c>
      <c r="C399">
        <v>32</v>
      </c>
      <c r="D399">
        <v>53.8</v>
      </c>
      <c r="E399">
        <f>MAX(ROUNDUP(D399, 0), C399)</f>
        <v>0</v>
      </c>
      <c r="F399" s="2">
        <v>10.4</v>
      </c>
      <c r="G399" s="2">
        <f>E399*F399</f>
        <v>0</v>
      </c>
      <c r="H399" s="2">
        <v>561.6</v>
      </c>
      <c r="I399" s="2">
        <f>ROUND(H399-G399, 2)</f>
        <v>0</v>
      </c>
      <c r="J399">
        <f>IF(ABS(I399)&gt;0.01, "Priority 3", "None")</f>
        <v>0</v>
      </c>
    </row>
    <row r="400" spans="1:10">
      <c r="A400" t="s">
        <v>1470</v>
      </c>
      <c r="B400" t="s">
        <v>1313</v>
      </c>
      <c r="C400">
        <v>24</v>
      </c>
      <c r="D400">
        <v>55.2</v>
      </c>
      <c r="E400">
        <f>MAX(ROUNDUP(D400, 0), C400)</f>
        <v>0</v>
      </c>
      <c r="F400" s="2">
        <v>10.4</v>
      </c>
      <c r="G400" s="2">
        <f>E400*F400</f>
        <v>0</v>
      </c>
      <c r="H400" s="2">
        <v>582.4</v>
      </c>
      <c r="I400" s="2">
        <f>ROUND(H400-G400, 2)</f>
        <v>0</v>
      </c>
      <c r="J400">
        <f>IF(ABS(I400)&gt;0.01, "Priority 3", "None")</f>
        <v>0</v>
      </c>
    </row>
    <row r="401" spans="1:10">
      <c r="A401" t="s">
        <v>1471</v>
      </c>
      <c r="B401" t="s">
        <v>1313</v>
      </c>
      <c r="C401">
        <v>24</v>
      </c>
      <c r="D401">
        <v>54.7</v>
      </c>
      <c r="E401">
        <f>MAX(ROUNDUP(D401, 0), C401)</f>
        <v>0</v>
      </c>
      <c r="F401" s="2">
        <v>10.4</v>
      </c>
      <c r="G401" s="2">
        <f>E401*F401</f>
        <v>0</v>
      </c>
      <c r="H401" s="2">
        <v>572</v>
      </c>
      <c r="I401" s="2">
        <f>ROUND(H401-G401, 2)</f>
        <v>0</v>
      </c>
      <c r="J401">
        <f>IF(ABS(I401)&gt;0.01, "Priority 3", "None")</f>
        <v>0</v>
      </c>
    </row>
    <row r="402" spans="1:10">
      <c r="A402" t="s">
        <v>1472</v>
      </c>
      <c r="B402" t="s">
        <v>1313</v>
      </c>
      <c r="C402">
        <v>40</v>
      </c>
      <c r="D402">
        <v>37.8</v>
      </c>
      <c r="E402">
        <f>MAX(ROUNDUP(D402, 0), C402)</f>
        <v>0</v>
      </c>
      <c r="F402" s="2">
        <v>10.4</v>
      </c>
      <c r="G402" s="2">
        <f>E402*F402</f>
        <v>0</v>
      </c>
      <c r="H402" s="2">
        <v>416</v>
      </c>
      <c r="I402" s="2">
        <f>ROUND(H402-G402, 2)</f>
        <v>0</v>
      </c>
      <c r="J402">
        <f>IF(ABS(I402)&gt;0.01, "Priority 3", "None")</f>
        <v>0</v>
      </c>
    </row>
    <row r="403" spans="1:10">
      <c r="A403" t="s">
        <v>1473</v>
      </c>
      <c r="B403" t="s">
        <v>1313</v>
      </c>
      <c r="C403">
        <v>40</v>
      </c>
      <c r="D403">
        <v>49.8</v>
      </c>
      <c r="E403">
        <f>MAX(ROUNDUP(D403, 0), C403)</f>
        <v>0</v>
      </c>
      <c r="F403" s="2">
        <v>10.4</v>
      </c>
      <c r="G403" s="2">
        <f>E403*F403</f>
        <v>0</v>
      </c>
      <c r="H403" s="2">
        <v>520</v>
      </c>
      <c r="I403" s="2">
        <f>ROUND(H403-G403, 2)</f>
        <v>0</v>
      </c>
      <c r="J403">
        <f>IF(ABS(I403)&gt;0.01, "Priority 3", "None")</f>
        <v>0</v>
      </c>
    </row>
    <row r="404" spans="1:10">
      <c r="A404" t="s">
        <v>1474</v>
      </c>
      <c r="B404" t="s">
        <v>1313</v>
      </c>
      <c r="C404">
        <v>28</v>
      </c>
      <c r="D404">
        <v>27.9</v>
      </c>
      <c r="E404">
        <f>MAX(ROUNDUP(D404, 0), C404)</f>
        <v>0</v>
      </c>
      <c r="F404" s="2">
        <v>10.4</v>
      </c>
      <c r="G404" s="2">
        <f>E404*F404</f>
        <v>0</v>
      </c>
      <c r="H404" s="2">
        <v>291.2</v>
      </c>
      <c r="I404" s="2">
        <f>ROUND(H404-G404, 2)</f>
        <v>0</v>
      </c>
      <c r="J404">
        <f>IF(ABS(I404)&gt;0.01, "Priority 3", "None")</f>
        <v>0</v>
      </c>
    </row>
    <row r="405" spans="1:10">
      <c r="A405" t="s">
        <v>1475</v>
      </c>
      <c r="B405" t="s">
        <v>1313</v>
      </c>
      <c r="C405">
        <v>24</v>
      </c>
      <c r="D405">
        <v>21.2</v>
      </c>
      <c r="E405">
        <f>MAX(ROUNDUP(D405, 0), C405)</f>
        <v>0</v>
      </c>
      <c r="F405" s="2">
        <v>10.4</v>
      </c>
      <c r="G405" s="2">
        <f>E405*F405</f>
        <v>0</v>
      </c>
      <c r="H405" s="2">
        <v>249.6</v>
      </c>
      <c r="I405" s="2">
        <f>ROUND(H405-G405, 2)</f>
        <v>0</v>
      </c>
      <c r="J405">
        <f>IF(ABS(I405)&gt;0.01, "Priority 3", "None")</f>
        <v>0</v>
      </c>
    </row>
    <row r="406" spans="1:10">
      <c r="A406" t="s">
        <v>1476</v>
      </c>
      <c r="B406" t="s">
        <v>1313</v>
      </c>
      <c r="C406">
        <v>32</v>
      </c>
      <c r="D406">
        <v>23.2</v>
      </c>
      <c r="E406">
        <f>MAX(ROUNDUP(D406, 0), C406)</f>
        <v>0</v>
      </c>
      <c r="F406" s="2">
        <v>10.4</v>
      </c>
      <c r="G406" s="2">
        <f>E406*F406</f>
        <v>0</v>
      </c>
      <c r="H406" s="2">
        <v>332.8</v>
      </c>
      <c r="I406" s="2">
        <f>ROUND(H406-G406, 2)</f>
        <v>0</v>
      </c>
      <c r="J406">
        <f>IF(ABS(I406)&gt;0.01, "Priority 3", "None")</f>
        <v>0</v>
      </c>
    </row>
    <row r="407" spans="1:10">
      <c r="A407" t="s">
        <v>1477</v>
      </c>
      <c r="B407" t="s">
        <v>1313</v>
      </c>
      <c r="C407">
        <v>32</v>
      </c>
      <c r="D407">
        <v>18.4</v>
      </c>
      <c r="E407">
        <f>MAX(ROUNDUP(D407, 0), C407)</f>
        <v>0</v>
      </c>
      <c r="F407" s="2">
        <v>10.4</v>
      </c>
      <c r="G407" s="2">
        <f>E407*F407</f>
        <v>0</v>
      </c>
      <c r="H407" s="2">
        <v>332.8</v>
      </c>
      <c r="I407" s="2">
        <f>ROUND(H407-G407, 2)</f>
        <v>0</v>
      </c>
      <c r="J407">
        <f>IF(ABS(I407)&gt;0.01, "Priority 3", "None")</f>
        <v>0</v>
      </c>
    </row>
    <row r="408" spans="1:10">
      <c r="A408" t="s">
        <v>1478</v>
      </c>
      <c r="B408" t="s">
        <v>1313</v>
      </c>
      <c r="C408">
        <v>36</v>
      </c>
      <c r="D408">
        <v>58.2</v>
      </c>
      <c r="E408">
        <f>MAX(ROUNDUP(D408, 0), C408)</f>
        <v>0</v>
      </c>
      <c r="F408" s="2">
        <v>10.4</v>
      </c>
      <c r="G408" s="2">
        <f>E408*F408</f>
        <v>0</v>
      </c>
      <c r="H408" s="2">
        <v>613.6</v>
      </c>
      <c r="I408" s="2">
        <f>ROUND(H408-G408, 2)</f>
        <v>0</v>
      </c>
      <c r="J408">
        <f>IF(ABS(I408)&gt;0.01, "Priority 3", "None")</f>
        <v>0</v>
      </c>
    </row>
    <row r="409" spans="1:10">
      <c r="A409" t="s">
        <v>1479</v>
      </c>
      <c r="B409" t="s">
        <v>1313</v>
      </c>
      <c r="C409">
        <v>24</v>
      </c>
      <c r="D409">
        <v>18.2</v>
      </c>
      <c r="E409">
        <f>MAX(ROUNDUP(D409, 0), C409)</f>
        <v>0</v>
      </c>
      <c r="F409" s="2">
        <v>10.4</v>
      </c>
      <c r="G409" s="2">
        <f>E409*F409</f>
        <v>0</v>
      </c>
      <c r="H409" s="2">
        <v>249.6</v>
      </c>
      <c r="I409" s="2">
        <f>ROUND(H409-G409, 2)</f>
        <v>0</v>
      </c>
      <c r="J409">
        <f>IF(ABS(I409)&gt;0.01, "Priority 3", "None")</f>
        <v>0</v>
      </c>
    </row>
    <row r="410" spans="1:10">
      <c r="A410" t="s">
        <v>1480</v>
      </c>
      <c r="B410" t="s">
        <v>1313</v>
      </c>
      <c r="C410">
        <v>32</v>
      </c>
      <c r="D410">
        <v>21.3</v>
      </c>
      <c r="E410">
        <f>MAX(ROUNDUP(D410, 0), C410)</f>
        <v>0</v>
      </c>
      <c r="F410" s="2">
        <v>10.4</v>
      </c>
      <c r="G410" s="2">
        <f>E410*F410</f>
        <v>0</v>
      </c>
      <c r="H410" s="2">
        <v>332.8</v>
      </c>
      <c r="I410" s="2">
        <f>ROUND(H410-G410, 2)</f>
        <v>0</v>
      </c>
      <c r="J410">
        <f>IF(ABS(I410)&gt;0.01, "Priority 3", "None")</f>
        <v>0</v>
      </c>
    </row>
    <row r="411" spans="1:10">
      <c r="A411" t="s">
        <v>1481</v>
      </c>
      <c r="B411" t="s">
        <v>1313</v>
      </c>
      <c r="C411">
        <v>40</v>
      </c>
      <c r="D411">
        <v>52.9</v>
      </c>
      <c r="E411">
        <f>MAX(ROUNDUP(D411, 0), C411)</f>
        <v>0</v>
      </c>
      <c r="F411" s="2">
        <v>10.4</v>
      </c>
      <c r="G411" s="2">
        <f>E411*F411</f>
        <v>0</v>
      </c>
      <c r="H411" s="2">
        <v>551.2</v>
      </c>
      <c r="I411" s="2">
        <f>ROUND(H411-G411, 2)</f>
        <v>0</v>
      </c>
      <c r="J411">
        <f>IF(ABS(I411)&gt;0.01, "Priority 3", "None")</f>
        <v>0</v>
      </c>
    </row>
    <row r="412" spans="1:10">
      <c r="A412" t="s">
        <v>1482</v>
      </c>
      <c r="B412" t="s">
        <v>1313</v>
      </c>
      <c r="C412">
        <v>32</v>
      </c>
      <c r="D412">
        <v>33.4</v>
      </c>
      <c r="E412">
        <f>MAX(ROUNDUP(D412, 0), C412)</f>
        <v>0</v>
      </c>
      <c r="F412" s="2">
        <v>10.4</v>
      </c>
      <c r="G412" s="2">
        <f>E412*F412</f>
        <v>0</v>
      </c>
      <c r="H412" s="2">
        <v>353.6</v>
      </c>
      <c r="I412" s="2">
        <f>ROUND(H412-G412, 2)</f>
        <v>0</v>
      </c>
      <c r="J412">
        <f>IF(ABS(I412)&gt;0.01, "Priority 3", "None")</f>
        <v>0</v>
      </c>
    </row>
    <row r="413" spans="1:10">
      <c r="A413" t="s">
        <v>1483</v>
      </c>
      <c r="B413" t="s">
        <v>1313</v>
      </c>
      <c r="C413">
        <v>28</v>
      </c>
      <c r="D413">
        <v>56.2</v>
      </c>
      <c r="E413">
        <f>MAX(ROUNDUP(D413, 0), C413)</f>
        <v>0</v>
      </c>
      <c r="F413" s="2">
        <v>10.4</v>
      </c>
      <c r="G413" s="2">
        <f>E413*F413</f>
        <v>0</v>
      </c>
      <c r="H413" s="2">
        <v>592.8</v>
      </c>
      <c r="I413" s="2">
        <f>ROUND(H413-G413, 2)</f>
        <v>0</v>
      </c>
      <c r="J413">
        <f>IF(ABS(I413)&gt;0.01, "Priority 3", "None")</f>
        <v>0</v>
      </c>
    </row>
    <row r="414" spans="1:10">
      <c r="A414" t="s">
        <v>1484</v>
      </c>
      <c r="B414" t="s">
        <v>1313</v>
      </c>
      <c r="C414">
        <v>28</v>
      </c>
      <c r="D414">
        <v>59.7</v>
      </c>
      <c r="E414">
        <f>MAX(ROUNDUP(D414, 0), C414)</f>
        <v>0</v>
      </c>
      <c r="F414" s="2">
        <v>10.4</v>
      </c>
      <c r="G414" s="2">
        <f>E414*F414</f>
        <v>0</v>
      </c>
      <c r="H414" s="2">
        <v>624</v>
      </c>
      <c r="I414" s="2">
        <f>ROUND(H414-G414, 2)</f>
        <v>0</v>
      </c>
      <c r="J414">
        <f>IF(ABS(I414)&gt;0.01, "Priority 3", "None")</f>
        <v>0</v>
      </c>
    </row>
    <row r="415" spans="1:10">
      <c r="A415" t="s">
        <v>1485</v>
      </c>
      <c r="B415" t="s">
        <v>1313</v>
      </c>
      <c r="C415">
        <v>36</v>
      </c>
      <c r="D415">
        <v>22.4</v>
      </c>
      <c r="E415">
        <f>MAX(ROUNDUP(D415, 0), C415)</f>
        <v>0</v>
      </c>
      <c r="F415" s="2">
        <v>10.4</v>
      </c>
      <c r="G415" s="2">
        <f>E415*F415</f>
        <v>0</v>
      </c>
      <c r="H415" s="2">
        <v>374.4</v>
      </c>
      <c r="I415" s="2">
        <f>ROUND(H415-G415, 2)</f>
        <v>0</v>
      </c>
      <c r="J415">
        <f>IF(ABS(I415)&gt;0.01, "Priority 3", "None")</f>
        <v>0</v>
      </c>
    </row>
    <row r="416" spans="1:10">
      <c r="A416" t="s">
        <v>1486</v>
      </c>
      <c r="B416" t="s">
        <v>1313</v>
      </c>
      <c r="C416">
        <v>32</v>
      </c>
      <c r="D416">
        <v>58.6</v>
      </c>
      <c r="E416">
        <f>MAX(ROUNDUP(D416, 0), C416)</f>
        <v>0</v>
      </c>
      <c r="F416" s="2">
        <v>10.4</v>
      </c>
      <c r="G416" s="2">
        <f>E416*F416</f>
        <v>0</v>
      </c>
      <c r="H416" s="2">
        <v>613.6</v>
      </c>
      <c r="I416" s="2">
        <f>ROUND(H416-G416, 2)</f>
        <v>0</v>
      </c>
      <c r="J416">
        <f>IF(ABS(I416)&gt;0.01, "Priority 3", "None")</f>
        <v>0</v>
      </c>
    </row>
    <row r="417" spans="1:10">
      <c r="A417" t="s">
        <v>1487</v>
      </c>
      <c r="B417" t="s">
        <v>1313</v>
      </c>
      <c r="C417">
        <v>28</v>
      </c>
      <c r="D417">
        <v>54.9</v>
      </c>
      <c r="E417">
        <f>MAX(ROUNDUP(D417, 0), C417)</f>
        <v>0</v>
      </c>
      <c r="F417" s="2">
        <v>10.4</v>
      </c>
      <c r="G417" s="2">
        <f>E417*F417</f>
        <v>0</v>
      </c>
      <c r="H417" s="2">
        <v>572</v>
      </c>
      <c r="I417" s="2">
        <f>ROUND(H417-G417, 2)</f>
        <v>0</v>
      </c>
      <c r="J417">
        <f>IF(ABS(I417)&gt;0.01, "Priority 3", "None")</f>
        <v>0</v>
      </c>
    </row>
    <row r="418" spans="1:10">
      <c r="A418" t="s">
        <v>1488</v>
      </c>
      <c r="B418" t="s">
        <v>1313</v>
      </c>
      <c r="C418">
        <v>24</v>
      </c>
      <c r="D418">
        <v>47</v>
      </c>
      <c r="E418">
        <f>MAX(ROUNDUP(D418, 0), C418)</f>
        <v>0</v>
      </c>
      <c r="F418" s="2">
        <v>10.4</v>
      </c>
      <c r="G418" s="2">
        <f>E418*F418</f>
        <v>0</v>
      </c>
      <c r="H418" s="2">
        <v>488.8</v>
      </c>
      <c r="I418" s="2">
        <f>ROUND(H418-G418, 2)</f>
        <v>0</v>
      </c>
      <c r="J418">
        <f>IF(ABS(I418)&gt;0.01, "Priority 3", "None")</f>
        <v>0</v>
      </c>
    </row>
    <row r="419" spans="1:10">
      <c r="A419" t="s">
        <v>1489</v>
      </c>
      <c r="B419" t="s">
        <v>1313</v>
      </c>
      <c r="C419">
        <v>24</v>
      </c>
      <c r="D419">
        <v>56.9</v>
      </c>
      <c r="E419">
        <f>MAX(ROUNDUP(D419, 0), C419)</f>
        <v>0</v>
      </c>
      <c r="F419" s="2">
        <v>10.4</v>
      </c>
      <c r="G419" s="2">
        <f>E419*F419</f>
        <v>0</v>
      </c>
      <c r="H419" s="2">
        <v>592.8</v>
      </c>
      <c r="I419" s="2">
        <f>ROUND(H419-G419, 2)</f>
        <v>0</v>
      </c>
      <c r="J419">
        <f>IF(ABS(I419)&gt;0.01, "Priority 3", "None")</f>
        <v>0</v>
      </c>
    </row>
    <row r="420" spans="1:10">
      <c r="A420" t="s">
        <v>1490</v>
      </c>
      <c r="B420" t="s">
        <v>1313</v>
      </c>
      <c r="C420">
        <v>36</v>
      </c>
      <c r="D420">
        <v>39.8</v>
      </c>
      <c r="E420">
        <f>MAX(ROUNDUP(D420, 0), C420)</f>
        <v>0</v>
      </c>
      <c r="F420" s="2">
        <v>10.4</v>
      </c>
      <c r="G420" s="2">
        <f>E420*F420</f>
        <v>0</v>
      </c>
      <c r="H420" s="2">
        <v>416</v>
      </c>
      <c r="I420" s="2">
        <f>ROUND(H420-G420, 2)</f>
        <v>0</v>
      </c>
      <c r="J420">
        <f>IF(ABS(I420)&gt;0.01, "Priority 3", "None")</f>
        <v>0</v>
      </c>
    </row>
    <row r="421" spans="1:10">
      <c r="A421" t="s">
        <v>1491</v>
      </c>
      <c r="B421" t="s">
        <v>1313</v>
      </c>
      <c r="C421">
        <v>40</v>
      </c>
      <c r="D421">
        <v>57.6</v>
      </c>
      <c r="E421">
        <f>MAX(ROUNDUP(D421, 0), C421)</f>
        <v>0</v>
      </c>
      <c r="F421" s="2">
        <v>10.4</v>
      </c>
      <c r="G421" s="2">
        <f>E421*F421</f>
        <v>0</v>
      </c>
      <c r="H421" s="2">
        <v>603.2</v>
      </c>
      <c r="I421" s="2">
        <f>ROUND(H421-G421, 2)</f>
        <v>0</v>
      </c>
      <c r="J421">
        <f>IF(ABS(I421)&gt;0.01, "Priority 3", "None")</f>
        <v>0</v>
      </c>
    </row>
    <row r="422" spans="1:10">
      <c r="A422" t="s">
        <v>1492</v>
      </c>
      <c r="B422" t="s">
        <v>1313</v>
      </c>
      <c r="C422">
        <v>36</v>
      </c>
      <c r="D422">
        <v>50.8</v>
      </c>
      <c r="E422">
        <f>MAX(ROUNDUP(D422, 0), C422)</f>
        <v>0</v>
      </c>
      <c r="F422" s="2">
        <v>10.4</v>
      </c>
      <c r="G422" s="2">
        <f>E422*F422</f>
        <v>0</v>
      </c>
      <c r="H422" s="2">
        <v>530.4</v>
      </c>
      <c r="I422" s="2">
        <f>ROUND(H422-G422, 2)</f>
        <v>0</v>
      </c>
      <c r="J422">
        <f>IF(ABS(I422)&gt;0.01, "Priority 3", "None")</f>
        <v>0</v>
      </c>
    </row>
    <row r="423" spans="1:10">
      <c r="A423" t="s">
        <v>1493</v>
      </c>
      <c r="B423" t="s">
        <v>1313</v>
      </c>
      <c r="C423">
        <v>40</v>
      </c>
      <c r="D423">
        <v>58.3</v>
      </c>
      <c r="E423">
        <f>MAX(ROUNDUP(D423, 0), C423)</f>
        <v>0</v>
      </c>
      <c r="F423" s="2">
        <v>10.4</v>
      </c>
      <c r="G423" s="2">
        <f>E423*F423</f>
        <v>0</v>
      </c>
      <c r="H423" s="2">
        <v>613.6</v>
      </c>
      <c r="I423" s="2">
        <f>ROUND(H423-G423, 2)</f>
        <v>0</v>
      </c>
      <c r="J423">
        <f>IF(ABS(I423)&gt;0.01, "Priority 3", "None")</f>
        <v>0</v>
      </c>
    </row>
    <row r="424" spans="1:10">
      <c r="A424" t="s">
        <v>1494</v>
      </c>
      <c r="B424" t="s">
        <v>1313</v>
      </c>
      <c r="C424">
        <v>36</v>
      </c>
      <c r="D424">
        <v>46.5</v>
      </c>
      <c r="E424">
        <f>MAX(ROUNDUP(D424, 0), C424)</f>
        <v>0</v>
      </c>
      <c r="F424" s="2">
        <v>10.4</v>
      </c>
      <c r="G424" s="2">
        <f>E424*F424</f>
        <v>0</v>
      </c>
      <c r="H424" s="2">
        <v>488.8</v>
      </c>
      <c r="I424" s="2">
        <f>ROUND(H424-G424, 2)</f>
        <v>0</v>
      </c>
      <c r="J424">
        <f>IF(ABS(I424)&gt;0.01, "Priority 3", "None")</f>
        <v>0</v>
      </c>
    </row>
    <row r="425" spans="1:10">
      <c r="A425" t="s">
        <v>1495</v>
      </c>
      <c r="B425" t="s">
        <v>1313</v>
      </c>
      <c r="C425">
        <v>28</v>
      </c>
      <c r="D425">
        <v>58.1</v>
      </c>
      <c r="E425">
        <f>MAX(ROUNDUP(D425, 0), C425)</f>
        <v>0</v>
      </c>
      <c r="F425" s="2">
        <v>10.4</v>
      </c>
      <c r="G425" s="2">
        <f>E425*F425</f>
        <v>0</v>
      </c>
      <c r="H425" s="2">
        <v>613.6</v>
      </c>
      <c r="I425" s="2">
        <f>ROUND(H425-G425, 2)</f>
        <v>0</v>
      </c>
      <c r="J425">
        <f>IF(ABS(I425)&gt;0.01, "Priority 3", "None")</f>
        <v>0</v>
      </c>
    </row>
    <row r="426" spans="1:10">
      <c r="A426" t="s">
        <v>1496</v>
      </c>
      <c r="B426" t="s">
        <v>1313</v>
      </c>
      <c r="C426">
        <v>36</v>
      </c>
      <c r="D426">
        <v>56.6</v>
      </c>
      <c r="E426">
        <f>MAX(ROUNDUP(D426, 0), C426)</f>
        <v>0</v>
      </c>
      <c r="F426" s="2">
        <v>10.4</v>
      </c>
      <c r="G426" s="2">
        <f>E426*F426</f>
        <v>0</v>
      </c>
      <c r="H426" s="2">
        <v>592.8</v>
      </c>
      <c r="I426" s="2">
        <f>ROUND(H426-G426, 2)</f>
        <v>0</v>
      </c>
      <c r="J426">
        <f>IF(ABS(I426)&gt;0.01, "Priority 3", "None")</f>
        <v>0</v>
      </c>
    </row>
    <row r="427" spans="1:10">
      <c r="A427" t="s">
        <v>1497</v>
      </c>
      <c r="B427" t="s">
        <v>1313</v>
      </c>
      <c r="C427">
        <v>28</v>
      </c>
      <c r="D427">
        <v>56.5</v>
      </c>
      <c r="E427">
        <f>MAX(ROUNDUP(D427, 0), C427)</f>
        <v>0</v>
      </c>
      <c r="F427" s="2">
        <v>10.4</v>
      </c>
      <c r="G427" s="2">
        <f>E427*F427</f>
        <v>0</v>
      </c>
      <c r="H427" s="2">
        <v>592.8</v>
      </c>
      <c r="I427" s="2">
        <f>ROUND(H427-G427, 2)</f>
        <v>0</v>
      </c>
      <c r="J427">
        <f>IF(ABS(I427)&gt;0.01, "Priority 3", "None")</f>
        <v>0</v>
      </c>
    </row>
    <row r="428" spans="1:10">
      <c r="A428" t="s">
        <v>1498</v>
      </c>
      <c r="B428" t="s">
        <v>1313</v>
      </c>
      <c r="C428">
        <v>28</v>
      </c>
      <c r="D428">
        <v>24.5</v>
      </c>
      <c r="E428">
        <f>MAX(ROUNDUP(D428, 0), C428)</f>
        <v>0</v>
      </c>
      <c r="F428" s="2">
        <v>10.4</v>
      </c>
      <c r="G428" s="2">
        <f>E428*F428</f>
        <v>0</v>
      </c>
      <c r="H428" s="2">
        <v>291.2</v>
      </c>
      <c r="I428" s="2">
        <f>ROUND(H428-G428, 2)</f>
        <v>0</v>
      </c>
      <c r="J428">
        <f>IF(ABS(I428)&gt;0.01, "Priority 3", "None")</f>
        <v>0</v>
      </c>
    </row>
    <row r="429" spans="1:10">
      <c r="A429" t="s">
        <v>1499</v>
      </c>
      <c r="B429" t="s">
        <v>1313</v>
      </c>
      <c r="C429">
        <v>36</v>
      </c>
      <c r="D429">
        <v>29.3</v>
      </c>
      <c r="E429">
        <f>MAX(ROUNDUP(D429, 0), C429)</f>
        <v>0</v>
      </c>
      <c r="F429" s="2">
        <v>10.4</v>
      </c>
      <c r="G429" s="2">
        <f>E429*F429</f>
        <v>0</v>
      </c>
      <c r="H429" s="2">
        <v>374.4</v>
      </c>
      <c r="I429" s="2">
        <f>ROUND(H429-G429, 2)</f>
        <v>0</v>
      </c>
      <c r="J429">
        <f>IF(ABS(I429)&gt;0.01, "Priority 3", "None")</f>
        <v>0</v>
      </c>
    </row>
    <row r="430" spans="1:10">
      <c r="A430" t="s">
        <v>1500</v>
      </c>
      <c r="B430" t="s">
        <v>1313</v>
      </c>
      <c r="C430">
        <v>28</v>
      </c>
      <c r="D430">
        <v>35.8</v>
      </c>
      <c r="E430">
        <f>MAX(ROUNDUP(D430, 0), C430)</f>
        <v>0</v>
      </c>
      <c r="F430" s="2">
        <v>10.4</v>
      </c>
      <c r="G430" s="2">
        <f>E430*F430</f>
        <v>0</v>
      </c>
      <c r="H430" s="2">
        <v>374.4</v>
      </c>
      <c r="I430" s="2">
        <f>ROUND(H430-G430, 2)</f>
        <v>0</v>
      </c>
      <c r="J430">
        <f>IF(ABS(I430)&gt;0.01, "Priority 3", "None")</f>
        <v>0</v>
      </c>
    </row>
    <row r="431" spans="1:10">
      <c r="A431" t="s">
        <v>1501</v>
      </c>
      <c r="B431" t="s">
        <v>1313</v>
      </c>
      <c r="C431">
        <v>32</v>
      </c>
      <c r="D431">
        <v>55.4</v>
      </c>
      <c r="E431">
        <f>MAX(ROUNDUP(D431, 0), C431)</f>
        <v>0</v>
      </c>
      <c r="F431" s="2">
        <v>10.4</v>
      </c>
      <c r="G431" s="2">
        <f>E431*F431</f>
        <v>0</v>
      </c>
      <c r="H431" s="2">
        <v>582.4</v>
      </c>
      <c r="I431" s="2">
        <f>ROUND(H431-G431, 2)</f>
        <v>0</v>
      </c>
      <c r="J431">
        <f>IF(ABS(I431)&gt;0.01, "Priority 3", "None")</f>
        <v>0</v>
      </c>
    </row>
    <row r="432" spans="1:10">
      <c r="A432" t="s">
        <v>1502</v>
      </c>
      <c r="B432" t="s">
        <v>1313</v>
      </c>
      <c r="C432">
        <v>24</v>
      </c>
      <c r="D432">
        <v>61.6</v>
      </c>
      <c r="E432">
        <f>MAX(ROUNDUP(D432, 0), C432)</f>
        <v>0</v>
      </c>
      <c r="F432" s="2">
        <v>10.4</v>
      </c>
      <c r="G432" s="2">
        <f>E432*F432</f>
        <v>0</v>
      </c>
      <c r="H432" s="2">
        <v>644.8</v>
      </c>
      <c r="I432" s="2">
        <f>ROUND(H432-G432, 2)</f>
        <v>0</v>
      </c>
      <c r="J432">
        <f>IF(ABS(I432)&gt;0.01, "Priority 3", "None")</f>
        <v>0</v>
      </c>
    </row>
    <row r="433" spans="1:10">
      <c r="A433" t="s">
        <v>1503</v>
      </c>
      <c r="B433" t="s">
        <v>1313</v>
      </c>
      <c r="C433">
        <v>36</v>
      </c>
      <c r="D433">
        <v>61</v>
      </c>
      <c r="E433">
        <f>MAX(ROUNDUP(D433, 0), C433)</f>
        <v>0</v>
      </c>
      <c r="F433" s="2">
        <v>10.4</v>
      </c>
      <c r="G433" s="2">
        <f>E433*F433</f>
        <v>0</v>
      </c>
      <c r="H433" s="2">
        <v>634.4</v>
      </c>
      <c r="I433" s="2">
        <f>ROUND(H433-G433, 2)</f>
        <v>0</v>
      </c>
      <c r="J433">
        <f>IF(ABS(I433)&gt;0.01, "Priority 3", "None")</f>
        <v>0</v>
      </c>
    </row>
    <row r="434" spans="1:10">
      <c r="A434" t="s">
        <v>1504</v>
      </c>
      <c r="B434" t="s">
        <v>1313</v>
      </c>
      <c r="C434">
        <v>40</v>
      </c>
      <c r="D434">
        <v>47.3</v>
      </c>
      <c r="E434">
        <f>MAX(ROUNDUP(D434, 0), C434)</f>
        <v>0</v>
      </c>
      <c r="F434" s="2">
        <v>10.4</v>
      </c>
      <c r="G434" s="2">
        <f>E434*F434</f>
        <v>0</v>
      </c>
      <c r="H434" s="2">
        <v>499.2</v>
      </c>
      <c r="I434" s="2">
        <f>ROUND(H434-G434, 2)</f>
        <v>0</v>
      </c>
      <c r="J434">
        <f>IF(ABS(I434)&gt;0.01, "Priority 3", "None")</f>
        <v>0</v>
      </c>
    </row>
    <row r="435" spans="1:10">
      <c r="A435" t="s">
        <v>1505</v>
      </c>
      <c r="B435" t="s">
        <v>1313</v>
      </c>
      <c r="C435">
        <v>40</v>
      </c>
      <c r="D435">
        <v>53.9</v>
      </c>
      <c r="E435">
        <f>MAX(ROUNDUP(D435, 0), C435)</f>
        <v>0</v>
      </c>
      <c r="F435" s="2">
        <v>10.4</v>
      </c>
      <c r="G435" s="2">
        <f>E435*F435</f>
        <v>0</v>
      </c>
      <c r="H435" s="2">
        <v>561.6</v>
      </c>
      <c r="I435" s="2">
        <f>ROUND(H435-G435, 2)</f>
        <v>0</v>
      </c>
      <c r="J435">
        <f>IF(ABS(I435)&gt;0.01, "Priority 3", "None")</f>
        <v>0</v>
      </c>
    </row>
    <row r="436" spans="1:10">
      <c r="A436" t="s">
        <v>1506</v>
      </c>
      <c r="B436" t="s">
        <v>1313</v>
      </c>
      <c r="C436">
        <v>24</v>
      </c>
      <c r="D436">
        <v>29.2</v>
      </c>
      <c r="E436">
        <f>MAX(ROUNDUP(D436, 0), C436)</f>
        <v>0</v>
      </c>
      <c r="F436" s="2">
        <v>10.4</v>
      </c>
      <c r="G436" s="2">
        <f>E436*F436</f>
        <v>0</v>
      </c>
      <c r="H436" s="2">
        <v>312</v>
      </c>
      <c r="I436" s="2">
        <f>ROUND(H436-G436, 2)</f>
        <v>0</v>
      </c>
      <c r="J436">
        <f>IF(ABS(I436)&gt;0.01, "Priority 3", "None")</f>
        <v>0</v>
      </c>
    </row>
    <row r="437" spans="1:10">
      <c r="A437" t="s">
        <v>1507</v>
      </c>
      <c r="B437" t="s">
        <v>1313</v>
      </c>
      <c r="C437">
        <v>28</v>
      </c>
      <c r="D437">
        <v>23.5</v>
      </c>
      <c r="E437">
        <f>MAX(ROUNDUP(D437, 0), C437)</f>
        <v>0</v>
      </c>
      <c r="F437" s="2">
        <v>10.4</v>
      </c>
      <c r="G437" s="2">
        <f>E437*F437</f>
        <v>0</v>
      </c>
      <c r="H437" s="2">
        <v>291.2</v>
      </c>
      <c r="I437" s="2">
        <f>ROUND(H437-G437, 2)</f>
        <v>0</v>
      </c>
      <c r="J437">
        <f>IF(ABS(I437)&gt;0.01, "Priority 3", "None")</f>
        <v>0</v>
      </c>
    </row>
    <row r="438" spans="1:10">
      <c r="A438" t="s">
        <v>1508</v>
      </c>
      <c r="B438" t="s">
        <v>1313</v>
      </c>
      <c r="C438">
        <v>28</v>
      </c>
      <c r="D438">
        <v>37</v>
      </c>
      <c r="E438">
        <f>MAX(ROUNDUP(D438, 0), C438)</f>
        <v>0</v>
      </c>
      <c r="F438" s="2">
        <v>10.4</v>
      </c>
      <c r="G438" s="2">
        <f>E438*F438</f>
        <v>0</v>
      </c>
      <c r="H438" s="2">
        <v>384.8</v>
      </c>
      <c r="I438" s="2">
        <f>ROUND(H438-G438, 2)</f>
        <v>0</v>
      </c>
      <c r="J438">
        <f>IF(ABS(I438)&gt;0.01, "Priority 3", "None")</f>
        <v>0</v>
      </c>
    </row>
    <row r="439" spans="1:10">
      <c r="A439" t="s">
        <v>1509</v>
      </c>
      <c r="B439" t="s">
        <v>1313</v>
      </c>
      <c r="C439">
        <v>24</v>
      </c>
      <c r="D439">
        <v>26.9</v>
      </c>
      <c r="E439">
        <f>MAX(ROUNDUP(D439, 0), C439)</f>
        <v>0</v>
      </c>
      <c r="F439" s="2">
        <v>10.4</v>
      </c>
      <c r="G439" s="2">
        <f>E439*F439</f>
        <v>0</v>
      </c>
      <c r="H439" s="2">
        <v>280.8</v>
      </c>
      <c r="I439" s="2">
        <f>ROUND(H439-G439, 2)</f>
        <v>0</v>
      </c>
      <c r="J439">
        <f>IF(ABS(I439)&gt;0.01, "Priority 3", "None")</f>
        <v>0</v>
      </c>
    </row>
    <row r="440" spans="1:10">
      <c r="A440" t="s">
        <v>1510</v>
      </c>
      <c r="B440" t="s">
        <v>1313</v>
      </c>
      <c r="C440">
        <v>28</v>
      </c>
      <c r="D440">
        <v>54.5</v>
      </c>
      <c r="E440">
        <f>MAX(ROUNDUP(D440, 0), C440)</f>
        <v>0</v>
      </c>
      <c r="F440" s="2">
        <v>10.4</v>
      </c>
      <c r="G440" s="2">
        <f>E440*F440</f>
        <v>0</v>
      </c>
      <c r="H440" s="2">
        <v>572</v>
      </c>
      <c r="I440" s="2">
        <f>ROUND(H440-G440, 2)</f>
        <v>0</v>
      </c>
      <c r="J440">
        <f>IF(ABS(I440)&gt;0.01, "Priority 3", "None")</f>
        <v>0</v>
      </c>
    </row>
    <row r="441" spans="1:10">
      <c r="A441" t="s">
        <v>1511</v>
      </c>
      <c r="B441" t="s">
        <v>1313</v>
      </c>
      <c r="C441">
        <v>36</v>
      </c>
      <c r="D441">
        <v>26.6</v>
      </c>
      <c r="E441">
        <f>MAX(ROUNDUP(D441, 0), C441)</f>
        <v>0</v>
      </c>
      <c r="F441" s="2">
        <v>10.4</v>
      </c>
      <c r="G441" s="2">
        <f>E441*F441</f>
        <v>0</v>
      </c>
      <c r="H441" s="2">
        <v>374.4</v>
      </c>
      <c r="I441" s="2">
        <f>ROUND(H441-G441, 2)</f>
        <v>0</v>
      </c>
      <c r="J441">
        <f>IF(ABS(I441)&gt;0.01, "Priority 3", "None")</f>
        <v>0</v>
      </c>
    </row>
    <row r="442" spans="1:10">
      <c r="A442" t="s">
        <v>1512</v>
      </c>
      <c r="B442" t="s">
        <v>1313</v>
      </c>
      <c r="C442">
        <v>24</v>
      </c>
      <c r="D442">
        <v>61.6</v>
      </c>
      <c r="E442">
        <f>MAX(ROUNDUP(D442, 0), C442)</f>
        <v>0</v>
      </c>
      <c r="F442" s="2">
        <v>10.4</v>
      </c>
      <c r="G442" s="2">
        <f>E442*F442</f>
        <v>0</v>
      </c>
      <c r="H442" s="2">
        <v>644.8</v>
      </c>
      <c r="I442" s="2">
        <f>ROUND(H442-G442, 2)</f>
        <v>0</v>
      </c>
      <c r="J442">
        <f>IF(ABS(I442)&gt;0.01, "Priority 3", "None")</f>
        <v>0</v>
      </c>
    </row>
    <row r="443" spans="1:10">
      <c r="A443" t="s">
        <v>1513</v>
      </c>
      <c r="B443" t="s">
        <v>1313</v>
      </c>
      <c r="C443">
        <v>32</v>
      </c>
      <c r="D443">
        <v>47.1</v>
      </c>
      <c r="E443">
        <f>MAX(ROUNDUP(D443, 0), C443)</f>
        <v>0</v>
      </c>
      <c r="F443" s="2">
        <v>10.4</v>
      </c>
      <c r="G443" s="2">
        <f>E443*F443</f>
        <v>0</v>
      </c>
      <c r="H443" s="2">
        <v>499.2</v>
      </c>
      <c r="I443" s="2">
        <f>ROUND(H443-G443, 2)</f>
        <v>0</v>
      </c>
      <c r="J443">
        <f>IF(ABS(I443)&gt;0.01, "Priority 3", "None")</f>
        <v>0</v>
      </c>
    </row>
    <row r="444" spans="1:10">
      <c r="A444" t="s">
        <v>1514</v>
      </c>
      <c r="B444" t="s">
        <v>1313</v>
      </c>
      <c r="C444">
        <v>28</v>
      </c>
      <c r="D444">
        <v>19.3</v>
      </c>
      <c r="E444">
        <f>MAX(ROUNDUP(D444, 0), C444)</f>
        <v>0</v>
      </c>
      <c r="F444" s="2">
        <v>10.4</v>
      </c>
      <c r="G444" s="2">
        <f>E444*F444</f>
        <v>0</v>
      </c>
      <c r="H444" s="2">
        <v>291.2</v>
      </c>
      <c r="I444" s="2">
        <f>ROUND(H444-G444, 2)</f>
        <v>0</v>
      </c>
      <c r="J444">
        <f>IF(ABS(I444)&gt;0.01, "Priority 3", "None")</f>
        <v>0</v>
      </c>
    </row>
    <row r="445" spans="1:10">
      <c r="A445" t="s">
        <v>1515</v>
      </c>
      <c r="B445" t="s">
        <v>1313</v>
      </c>
      <c r="C445">
        <v>36</v>
      </c>
      <c r="D445">
        <v>40.3</v>
      </c>
      <c r="E445">
        <f>MAX(ROUNDUP(D445, 0), C445)</f>
        <v>0</v>
      </c>
      <c r="F445" s="2">
        <v>10.4</v>
      </c>
      <c r="G445" s="2">
        <f>E445*F445</f>
        <v>0</v>
      </c>
      <c r="H445" s="2">
        <v>426.4</v>
      </c>
      <c r="I445" s="2">
        <f>ROUND(H445-G445, 2)</f>
        <v>0</v>
      </c>
      <c r="J445">
        <f>IF(ABS(I445)&gt;0.01, "Priority 3", "None")</f>
        <v>0</v>
      </c>
    </row>
    <row r="446" spans="1:10">
      <c r="A446" t="s">
        <v>1516</v>
      </c>
      <c r="B446" t="s">
        <v>1313</v>
      </c>
      <c r="C446">
        <v>32</v>
      </c>
      <c r="D446">
        <v>27.6</v>
      </c>
      <c r="E446">
        <f>MAX(ROUNDUP(D446, 0), C446)</f>
        <v>0</v>
      </c>
      <c r="F446" s="2">
        <v>10.4</v>
      </c>
      <c r="G446" s="2">
        <f>E446*F446</f>
        <v>0</v>
      </c>
      <c r="H446" s="2">
        <v>332.8</v>
      </c>
      <c r="I446" s="2">
        <f>ROUND(H446-G446, 2)</f>
        <v>0</v>
      </c>
      <c r="J446">
        <f>IF(ABS(I446)&gt;0.01, "Priority 3", "None")</f>
        <v>0</v>
      </c>
    </row>
    <row r="447" spans="1:10">
      <c r="A447" t="s">
        <v>1517</v>
      </c>
      <c r="B447" t="s">
        <v>1313</v>
      </c>
      <c r="C447">
        <v>40</v>
      </c>
      <c r="D447">
        <v>20.9</v>
      </c>
      <c r="E447">
        <f>MAX(ROUNDUP(D447, 0), C447)</f>
        <v>0</v>
      </c>
      <c r="F447" s="2">
        <v>10.4</v>
      </c>
      <c r="G447" s="2">
        <f>E447*F447</f>
        <v>0</v>
      </c>
      <c r="H447" s="2">
        <v>416</v>
      </c>
      <c r="I447" s="2">
        <f>ROUND(H447-G447, 2)</f>
        <v>0</v>
      </c>
      <c r="J447">
        <f>IF(ABS(I447)&gt;0.01, "Priority 3", "None")</f>
        <v>0</v>
      </c>
    </row>
    <row r="448" spans="1:10">
      <c r="A448" t="s">
        <v>1518</v>
      </c>
      <c r="B448" t="s">
        <v>1313</v>
      </c>
      <c r="C448">
        <v>28</v>
      </c>
      <c r="D448">
        <v>60</v>
      </c>
      <c r="E448">
        <f>MAX(ROUNDUP(D448, 0), C448)</f>
        <v>0</v>
      </c>
      <c r="F448" s="2">
        <v>10.4</v>
      </c>
      <c r="G448" s="2">
        <f>E448*F448</f>
        <v>0</v>
      </c>
      <c r="H448" s="2">
        <v>624</v>
      </c>
      <c r="I448" s="2">
        <f>ROUND(H448-G448, 2)</f>
        <v>0</v>
      </c>
      <c r="J448">
        <f>IF(ABS(I448)&gt;0.01, "Priority 3", "None")</f>
        <v>0</v>
      </c>
    </row>
    <row r="449" spans="1:10">
      <c r="A449" t="s">
        <v>1519</v>
      </c>
      <c r="B449" t="s">
        <v>1313</v>
      </c>
      <c r="C449">
        <v>28</v>
      </c>
      <c r="D449">
        <v>35.9</v>
      </c>
      <c r="E449">
        <f>MAX(ROUNDUP(D449, 0), C449)</f>
        <v>0</v>
      </c>
      <c r="F449" s="2">
        <v>10.4</v>
      </c>
      <c r="G449" s="2">
        <f>E449*F449</f>
        <v>0</v>
      </c>
      <c r="H449" s="2">
        <v>374.4</v>
      </c>
      <c r="I449" s="2">
        <f>ROUND(H449-G449, 2)</f>
        <v>0</v>
      </c>
      <c r="J449">
        <f>IF(ABS(I449)&gt;0.01, "Priority 3", "None")</f>
        <v>0</v>
      </c>
    </row>
    <row r="450" spans="1:10">
      <c r="A450" t="s">
        <v>1520</v>
      </c>
      <c r="B450" t="s">
        <v>1313</v>
      </c>
      <c r="C450">
        <v>28</v>
      </c>
      <c r="D450">
        <v>56.3</v>
      </c>
      <c r="E450">
        <f>MAX(ROUNDUP(D450, 0), C450)</f>
        <v>0</v>
      </c>
      <c r="F450" s="2">
        <v>10.4</v>
      </c>
      <c r="G450" s="2">
        <f>E450*F450</f>
        <v>0</v>
      </c>
      <c r="H450" s="2">
        <v>592.8</v>
      </c>
      <c r="I450" s="2">
        <f>ROUND(H450-G450, 2)</f>
        <v>0</v>
      </c>
      <c r="J450">
        <f>IF(ABS(I450)&gt;0.01, "Priority 3", "None")</f>
        <v>0</v>
      </c>
    </row>
    <row r="451" spans="1:10">
      <c r="A451" t="s">
        <v>1521</v>
      </c>
      <c r="B451" t="s">
        <v>1313</v>
      </c>
      <c r="C451">
        <v>24</v>
      </c>
      <c r="D451">
        <v>28.1</v>
      </c>
      <c r="E451">
        <f>MAX(ROUNDUP(D451, 0), C451)</f>
        <v>0</v>
      </c>
      <c r="F451" s="2">
        <v>10.4</v>
      </c>
      <c r="G451" s="2">
        <f>E451*F451</f>
        <v>0</v>
      </c>
      <c r="H451" s="2">
        <v>301.6</v>
      </c>
      <c r="I451" s="2">
        <f>ROUND(H451-G451, 2)</f>
        <v>0</v>
      </c>
      <c r="J451">
        <f>IF(ABS(I451)&gt;0.01, "Priority 3", "None")</f>
        <v>0</v>
      </c>
    </row>
    <row r="452" spans="1:10">
      <c r="A452" t="s">
        <v>1522</v>
      </c>
      <c r="B452" t="s">
        <v>1313</v>
      </c>
      <c r="C452">
        <v>36</v>
      </c>
      <c r="D452">
        <v>46.3</v>
      </c>
      <c r="E452">
        <f>MAX(ROUNDUP(D452, 0), C452)</f>
        <v>0</v>
      </c>
      <c r="F452" s="2">
        <v>10.4</v>
      </c>
      <c r="G452" s="2">
        <f>E452*F452</f>
        <v>0</v>
      </c>
      <c r="H452" s="2">
        <v>488.8</v>
      </c>
      <c r="I452" s="2">
        <f>ROUND(H452-G452, 2)</f>
        <v>0</v>
      </c>
      <c r="J452">
        <f>IF(ABS(I452)&gt;0.01, "Priority 3", "None")</f>
        <v>0</v>
      </c>
    </row>
    <row r="453" spans="1:10">
      <c r="A453" t="s">
        <v>1523</v>
      </c>
      <c r="B453" t="s">
        <v>1313</v>
      </c>
      <c r="C453">
        <v>36</v>
      </c>
      <c r="D453">
        <v>49.2</v>
      </c>
      <c r="E453">
        <f>MAX(ROUNDUP(D453, 0), C453)</f>
        <v>0</v>
      </c>
      <c r="F453" s="2">
        <v>10.4</v>
      </c>
      <c r="G453" s="2">
        <f>E453*F453</f>
        <v>0</v>
      </c>
      <c r="H453" s="2">
        <v>520</v>
      </c>
      <c r="I453" s="2">
        <f>ROUND(H453-G453, 2)</f>
        <v>0</v>
      </c>
      <c r="J453">
        <f>IF(ABS(I453)&gt;0.01, "Priority 3", "None")</f>
        <v>0</v>
      </c>
    </row>
    <row r="454" spans="1:10">
      <c r="A454" t="s">
        <v>1524</v>
      </c>
      <c r="B454" t="s">
        <v>1313</v>
      </c>
      <c r="C454">
        <v>28</v>
      </c>
      <c r="D454">
        <v>43.3</v>
      </c>
      <c r="E454">
        <f>MAX(ROUNDUP(D454, 0), C454)</f>
        <v>0</v>
      </c>
      <c r="F454" s="2">
        <v>10.4</v>
      </c>
      <c r="G454" s="2">
        <f>E454*F454</f>
        <v>0</v>
      </c>
      <c r="H454" s="2">
        <v>457.6</v>
      </c>
      <c r="I454" s="2">
        <f>ROUND(H454-G454, 2)</f>
        <v>0</v>
      </c>
      <c r="J454">
        <f>IF(ABS(I454)&gt;0.01, "Priority 3", "None")</f>
        <v>0</v>
      </c>
    </row>
    <row r="455" spans="1:10">
      <c r="A455" t="s">
        <v>1525</v>
      </c>
      <c r="B455" t="s">
        <v>1313</v>
      </c>
      <c r="C455">
        <v>24</v>
      </c>
      <c r="D455">
        <v>48.1</v>
      </c>
      <c r="E455">
        <f>MAX(ROUNDUP(D455, 0), C455)</f>
        <v>0</v>
      </c>
      <c r="F455" s="2">
        <v>10.4</v>
      </c>
      <c r="G455" s="2">
        <f>E455*F455</f>
        <v>0</v>
      </c>
      <c r="H455" s="2">
        <v>509.6</v>
      </c>
      <c r="I455" s="2">
        <f>ROUND(H455-G455, 2)</f>
        <v>0</v>
      </c>
      <c r="J455">
        <f>IF(ABS(I455)&gt;0.01, "Priority 3", "None")</f>
        <v>0</v>
      </c>
    </row>
    <row r="456" spans="1:10">
      <c r="A456" t="s">
        <v>1526</v>
      </c>
      <c r="B456" t="s">
        <v>1313</v>
      </c>
      <c r="C456">
        <v>40</v>
      </c>
      <c r="D456">
        <v>28.3</v>
      </c>
      <c r="E456">
        <f>MAX(ROUNDUP(D456, 0), C456)</f>
        <v>0</v>
      </c>
      <c r="F456" s="2">
        <v>10.4</v>
      </c>
      <c r="G456" s="2">
        <f>E456*F456</f>
        <v>0</v>
      </c>
      <c r="H456" s="2">
        <v>416</v>
      </c>
      <c r="I456" s="2">
        <f>ROUND(H456-G456, 2)</f>
        <v>0</v>
      </c>
      <c r="J456">
        <f>IF(ABS(I456)&gt;0.01, "Priority 3", "None")</f>
        <v>0</v>
      </c>
    </row>
    <row r="457" spans="1:10">
      <c r="A457" t="s">
        <v>1527</v>
      </c>
      <c r="B457" t="s">
        <v>1313</v>
      </c>
      <c r="C457">
        <v>40</v>
      </c>
      <c r="D457">
        <v>57.4</v>
      </c>
      <c r="E457">
        <f>MAX(ROUNDUP(D457, 0), C457)</f>
        <v>0</v>
      </c>
      <c r="F457" s="2">
        <v>10.4</v>
      </c>
      <c r="G457" s="2">
        <f>E457*F457</f>
        <v>0</v>
      </c>
      <c r="H457" s="2">
        <v>603.2</v>
      </c>
      <c r="I457" s="2">
        <f>ROUND(H457-G457, 2)</f>
        <v>0</v>
      </c>
      <c r="J457">
        <f>IF(ABS(I457)&gt;0.01, "Priority 3", "None")</f>
        <v>0</v>
      </c>
    </row>
    <row r="458" spans="1:10">
      <c r="A458" t="s">
        <v>1528</v>
      </c>
      <c r="B458" t="s">
        <v>1313</v>
      </c>
      <c r="C458">
        <v>28</v>
      </c>
      <c r="D458">
        <v>21</v>
      </c>
      <c r="E458">
        <f>MAX(ROUNDUP(D458, 0), C458)</f>
        <v>0</v>
      </c>
      <c r="F458" s="2">
        <v>10.4</v>
      </c>
      <c r="G458" s="2">
        <f>E458*F458</f>
        <v>0</v>
      </c>
      <c r="H458" s="2">
        <v>291.2</v>
      </c>
      <c r="I458" s="2">
        <f>ROUND(H458-G458, 2)</f>
        <v>0</v>
      </c>
      <c r="J458">
        <f>IF(ABS(I458)&gt;0.01, "Priority 3", "None")</f>
        <v>0</v>
      </c>
    </row>
    <row r="459" spans="1:10">
      <c r="A459" t="s">
        <v>1529</v>
      </c>
      <c r="B459" t="s">
        <v>1313</v>
      </c>
      <c r="C459">
        <v>36</v>
      </c>
      <c r="D459">
        <v>32.3</v>
      </c>
      <c r="E459">
        <f>MAX(ROUNDUP(D459, 0), C459)</f>
        <v>0</v>
      </c>
      <c r="F459" s="2">
        <v>10.4</v>
      </c>
      <c r="G459" s="2">
        <f>E459*F459</f>
        <v>0</v>
      </c>
      <c r="H459" s="2">
        <v>374.4</v>
      </c>
      <c r="I459" s="2">
        <f>ROUND(H459-G459, 2)</f>
        <v>0</v>
      </c>
      <c r="J459">
        <f>IF(ABS(I459)&gt;0.01, "Priority 3", "None")</f>
        <v>0</v>
      </c>
    </row>
    <row r="460" spans="1:10">
      <c r="A460" t="s">
        <v>1530</v>
      </c>
      <c r="B460" t="s">
        <v>1313</v>
      </c>
      <c r="C460">
        <v>36</v>
      </c>
      <c r="D460">
        <v>38.1</v>
      </c>
      <c r="E460">
        <f>MAX(ROUNDUP(D460, 0), C460)</f>
        <v>0</v>
      </c>
      <c r="F460" s="2">
        <v>10.4</v>
      </c>
      <c r="G460" s="2">
        <f>E460*F460</f>
        <v>0</v>
      </c>
      <c r="H460" s="2">
        <v>405.6</v>
      </c>
      <c r="I460" s="2">
        <f>ROUND(H460-G460, 2)</f>
        <v>0</v>
      </c>
      <c r="J460">
        <f>IF(ABS(I460)&gt;0.01, "Priority 3", "None")</f>
        <v>0</v>
      </c>
    </row>
    <row r="461" spans="1:10">
      <c r="A461" t="s">
        <v>1531</v>
      </c>
      <c r="B461" t="s">
        <v>1313</v>
      </c>
      <c r="C461">
        <v>24</v>
      </c>
      <c r="D461">
        <v>50</v>
      </c>
      <c r="E461">
        <f>MAX(ROUNDUP(D461, 0), C461)</f>
        <v>0</v>
      </c>
      <c r="F461" s="2">
        <v>10.4</v>
      </c>
      <c r="G461" s="2">
        <f>E461*F461</f>
        <v>0</v>
      </c>
      <c r="H461" s="2">
        <v>520</v>
      </c>
      <c r="I461" s="2">
        <f>ROUND(H461-G461, 2)</f>
        <v>0</v>
      </c>
      <c r="J461">
        <f>IF(ABS(I461)&gt;0.01, "Priority 3", "None")</f>
        <v>0</v>
      </c>
    </row>
    <row r="462" spans="1:10">
      <c r="A462" t="s">
        <v>1532</v>
      </c>
      <c r="B462" t="s">
        <v>1313</v>
      </c>
      <c r="C462">
        <v>24</v>
      </c>
      <c r="D462">
        <v>34.6</v>
      </c>
      <c r="E462">
        <f>MAX(ROUNDUP(D462, 0), C462)</f>
        <v>0</v>
      </c>
      <c r="F462" s="2">
        <v>10.4</v>
      </c>
      <c r="G462" s="2">
        <f>E462*F462</f>
        <v>0</v>
      </c>
      <c r="H462" s="2">
        <v>364</v>
      </c>
      <c r="I462" s="2">
        <f>ROUND(H462-G462, 2)</f>
        <v>0</v>
      </c>
      <c r="J462">
        <f>IF(ABS(I462)&gt;0.01, "Priority 3", "None")</f>
        <v>0</v>
      </c>
    </row>
    <row r="463" spans="1:10">
      <c r="A463" t="s">
        <v>1533</v>
      </c>
      <c r="B463" t="s">
        <v>1313</v>
      </c>
      <c r="C463">
        <v>36</v>
      </c>
      <c r="D463">
        <v>51.9</v>
      </c>
      <c r="E463">
        <f>MAX(ROUNDUP(D463, 0), C463)</f>
        <v>0</v>
      </c>
      <c r="F463" s="2">
        <v>10.4</v>
      </c>
      <c r="G463" s="2">
        <f>E463*F463</f>
        <v>0</v>
      </c>
      <c r="H463" s="2">
        <v>540.8</v>
      </c>
      <c r="I463" s="2">
        <f>ROUND(H463-G463, 2)</f>
        <v>0</v>
      </c>
      <c r="J463">
        <f>IF(ABS(I463)&gt;0.01, "Priority 3", "None")</f>
        <v>0</v>
      </c>
    </row>
    <row r="464" spans="1:10">
      <c r="A464" t="s">
        <v>1534</v>
      </c>
      <c r="B464" t="s">
        <v>1313</v>
      </c>
      <c r="C464">
        <v>24</v>
      </c>
      <c r="D464">
        <v>33.4</v>
      </c>
      <c r="E464">
        <f>MAX(ROUNDUP(D464, 0), C464)</f>
        <v>0</v>
      </c>
      <c r="F464" s="2">
        <v>10.4</v>
      </c>
      <c r="G464" s="2">
        <f>E464*F464</f>
        <v>0</v>
      </c>
      <c r="H464" s="2">
        <v>353.6</v>
      </c>
      <c r="I464" s="2">
        <f>ROUND(H464-G464, 2)</f>
        <v>0</v>
      </c>
      <c r="J464">
        <f>IF(ABS(I464)&gt;0.01, "Priority 3", "None")</f>
        <v>0</v>
      </c>
    </row>
    <row r="465" spans="1:10">
      <c r="A465" t="s">
        <v>1535</v>
      </c>
      <c r="B465" t="s">
        <v>1313</v>
      </c>
      <c r="C465">
        <v>40</v>
      </c>
      <c r="D465">
        <v>36.8</v>
      </c>
      <c r="E465">
        <f>MAX(ROUNDUP(D465, 0), C465)</f>
        <v>0</v>
      </c>
      <c r="F465" s="2">
        <v>10.4</v>
      </c>
      <c r="G465" s="2">
        <f>E465*F465</f>
        <v>0</v>
      </c>
      <c r="H465" s="2">
        <v>416</v>
      </c>
      <c r="I465" s="2">
        <f>ROUND(H465-G465, 2)</f>
        <v>0</v>
      </c>
      <c r="J465">
        <f>IF(ABS(I465)&gt;0.01, "Priority 3", "None")</f>
        <v>0</v>
      </c>
    </row>
    <row r="466" spans="1:10">
      <c r="A466" t="s">
        <v>1536</v>
      </c>
      <c r="B466" t="s">
        <v>1313</v>
      </c>
      <c r="C466">
        <v>40</v>
      </c>
      <c r="D466">
        <v>40.5</v>
      </c>
      <c r="E466">
        <f>MAX(ROUNDUP(D466, 0), C466)</f>
        <v>0</v>
      </c>
      <c r="F466" s="2">
        <v>10.4</v>
      </c>
      <c r="G466" s="2">
        <f>E466*F466</f>
        <v>0</v>
      </c>
      <c r="H466" s="2">
        <v>426.4</v>
      </c>
      <c r="I466" s="2">
        <f>ROUND(H466-G466, 2)</f>
        <v>0</v>
      </c>
      <c r="J466">
        <f>IF(ABS(I466)&gt;0.01, "Priority 3", "None")</f>
        <v>0</v>
      </c>
    </row>
    <row r="467" spans="1:10">
      <c r="A467" t="s">
        <v>1537</v>
      </c>
      <c r="B467" t="s">
        <v>1313</v>
      </c>
      <c r="C467">
        <v>36</v>
      </c>
      <c r="D467">
        <v>56.3</v>
      </c>
      <c r="E467">
        <f>MAX(ROUNDUP(D467, 0), C467)</f>
        <v>0</v>
      </c>
      <c r="F467" s="2">
        <v>10.4</v>
      </c>
      <c r="G467" s="2">
        <f>E467*F467</f>
        <v>0</v>
      </c>
      <c r="H467" s="2">
        <v>592.8</v>
      </c>
      <c r="I467" s="2">
        <f>ROUND(H467-G467, 2)</f>
        <v>0</v>
      </c>
      <c r="J467">
        <f>IF(ABS(I467)&gt;0.01, "Priority 3", "None")</f>
        <v>0</v>
      </c>
    </row>
    <row r="468" spans="1:10">
      <c r="A468" t="s">
        <v>1538</v>
      </c>
      <c r="B468" t="s">
        <v>1313</v>
      </c>
      <c r="C468">
        <v>28</v>
      </c>
      <c r="D468">
        <v>29.6</v>
      </c>
      <c r="E468">
        <f>MAX(ROUNDUP(D468, 0), C468)</f>
        <v>0</v>
      </c>
      <c r="F468" s="2">
        <v>10.4</v>
      </c>
      <c r="G468" s="2">
        <f>E468*F468</f>
        <v>0</v>
      </c>
      <c r="H468" s="2">
        <v>312</v>
      </c>
      <c r="I468" s="2">
        <f>ROUND(H468-G468, 2)</f>
        <v>0</v>
      </c>
      <c r="J468">
        <f>IF(ABS(I468)&gt;0.01, "Priority 3", "None")</f>
        <v>0</v>
      </c>
    </row>
    <row r="469" spans="1:10">
      <c r="A469" t="s">
        <v>1539</v>
      </c>
      <c r="B469" t="s">
        <v>1313</v>
      </c>
      <c r="C469">
        <v>32</v>
      </c>
      <c r="D469">
        <v>55.7</v>
      </c>
      <c r="E469">
        <f>MAX(ROUNDUP(D469, 0), C469)</f>
        <v>0</v>
      </c>
      <c r="F469" s="2">
        <v>10.4</v>
      </c>
      <c r="G469" s="2">
        <f>E469*F469</f>
        <v>0</v>
      </c>
      <c r="H469" s="2">
        <v>582.4</v>
      </c>
      <c r="I469" s="2">
        <f>ROUND(H469-G469, 2)</f>
        <v>0</v>
      </c>
      <c r="J469">
        <f>IF(ABS(I469)&gt;0.01, "Priority 3", "None")</f>
        <v>0</v>
      </c>
    </row>
    <row r="470" spans="1:10">
      <c r="A470" t="s">
        <v>1540</v>
      </c>
      <c r="B470" t="s">
        <v>1541</v>
      </c>
      <c r="C470">
        <v>80</v>
      </c>
      <c r="D470">
        <v>29.3</v>
      </c>
      <c r="E470">
        <f>MAX(ROUNDUP(D470, 0), C470)</f>
        <v>0</v>
      </c>
      <c r="F470" s="2">
        <v>7.55</v>
      </c>
      <c r="G470" s="2">
        <f>E470*F470</f>
        <v>0</v>
      </c>
      <c r="H470" s="2">
        <v>604</v>
      </c>
      <c r="I470" s="2">
        <f>ROUND(H470-G470, 2)</f>
        <v>0</v>
      </c>
      <c r="J470">
        <f>IF(ABS(I470)&gt;0.01, "Priority 3", "None")</f>
        <v>0</v>
      </c>
    </row>
    <row r="471" spans="1:10">
      <c r="A471" t="s">
        <v>1542</v>
      </c>
      <c r="B471" t="s">
        <v>1541</v>
      </c>
      <c r="C471">
        <v>24</v>
      </c>
      <c r="D471">
        <v>55.3</v>
      </c>
      <c r="E471">
        <f>MAX(ROUNDUP(D471, 0), C471)</f>
        <v>0</v>
      </c>
      <c r="F471" s="2">
        <v>7.55</v>
      </c>
      <c r="G471" s="2">
        <f>E471*F471</f>
        <v>0</v>
      </c>
      <c r="H471" s="2">
        <v>422.8</v>
      </c>
      <c r="I471" s="2">
        <f>ROUND(H471-G471, 2)</f>
        <v>0</v>
      </c>
      <c r="J471">
        <f>IF(ABS(I471)&gt;0.01, "Priority 3", "None")</f>
        <v>0</v>
      </c>
    </row>
    <row r="472" spans="1:10">
      <c r="A472" t="s">
        <v>1543</v>
      </c>
      <c r="B472" t="s">
        <v>1541</v>
      </c>
      <c r="C472">
        <v>36</v>
      </c>
      <c r="D472">
        <v>42.6</v>
      </c>
      <c r="E472">
        <f>MAX(ROUNDUP(D472, 0), C472)</f>
        <v>0</v>
      </c>
      <c r="F472" s="2">
        <v>7.55</v>
      </c>
      <c r="G472" s="2">
        <f>E472*F472</f>
        <v>0</v>
      </c>
      <c r="H472" s="2">
        <v>324.65</v>
      </c>
      <c r="I472" s="2">
        <f>ROUND(H472-G472, 2)</f>
        <v>0</v>
      </c>
      <c r="J472">
        <f>IF(ABS(I472)&gt;0.01, "Priority 3", "None")</f>
        <v>0</v>
      </c>
    </row>
    <row r="473" spans="1:10">
      <c r="A473" t="s">
        <v>1544</v>
      </c>
      <c r="B473" t="s">
        <v>1541</v>
      </c>
      <c r="C473">
        <v>36</v>
      </c>
      <c r="D473">
        <v>60.2</v>
      </c>
      <c r="E473">
        <f>MAX(ROUNDUP(D473, 0), C473)</f>
        <v>0</v>
      </c>
      <c r="F473" s="2">
        <v>7.55</v>
      </c>
      <c r="G473" s="2">
        <f>E473*F473</f>
        <v>0</v>
      </c>
      <c r="H473" s="2">
        <v>460.55</v>
      </c>
      <c r="I473" s="2">
        <f>ROUND(H473-G473, 2)</f>
        <v>0</v>
      </c>
      <c r="J473">
        <f>IF(ABS(I473)&gt;0.01, "Priority 3", "None")</f>
        <v>0</v>
      </c>
    </row>
    <row r="474" spans="1:10">
      <c r="A474" t="s">
        <v>1545</v>
      </c>
      <c r="B474" t="s">
        <v>1541</v>
      </c>
      <c r="C474">
        <v>45</v>
      </c>
      <c r="D474">
        <v>47.5</v>
      </c>
      <c r="E474">
        <f>MAX(ROUNDUP(D474, 0), C474)</f>
        <v>0</v>
      </c>
      <c r="F474" s="2">
        <v>7.55</v>
      </c>
      <c r="G474" s="2">
        <f>E474*F474</f>
        <v>0</v>
      </c>
      <c r="H474" s="2">
        <v>362.4</v>
      </c>
      <c r="I474" s="2">
        <f>ROUND(H474-G474, 2)</f>
        <v>0</v>
      </c>
      <c r="J474">
        <f>IF(ABS(I474)&gt;0.01, "Priority 3", "None")</f>
        <v>0</v>
      </c>
    </row>
    <row r="475" spans="1:10">
      <c r="A475" t="s">
        <v>1546</v>
      </c>
      <c r="B475" t="s">
        <v>1541</v>
      </c>
      <c r="C475">
        <v>28</v>
      </c>
      <c r="D475">
        <v>23.7</v>
      </c>
      <c r="E475">
        <f>MAX(ROUNDUP(D475, 0), C475)</f>
        <v>0</v>
      </c>
      <c r="F475" s="2">
        <v>7.55</v>
      </c>
      <c r="G475" s="2">
        <f>E475*F475</f>
        <v>0</v>
      </c>
      <c r="H475" s="2">
        <v>211.4</v>
      </c>
      <c r="I475" s="2">
        <f>ROUND(H475-G475, 2)</f>
        <v>0</v>
      </c>
      <c r="J475">
        <f>IF(ABS(I475)&gt;0.01, "Priority 3", "None")</f>
        <v>0</v>
      </c>
    </row>
    <row r="476" spans="1:10">
      <c r="A476" t="s">
        <v>1547</v>
      </c>
      <c r="B476" t="s">
        <v>1541</v>
      </c>
      <c r="C476">
        <v>40</v>
      </c>
      <c r="D476">
        <v>59.3</v>
      </c>
      <c r="E476">
        <f>MAX(ROUNDUP(D476, 0), C476)</f>
        <v>0</v>
      </c>
      <c r="F476" s="2">
        <v>7.55</v>
      </c>
      <c r="G476" s="2">
        <f>E476*F476</f>
        <v>0</v>
      </c>
      <c r="H476" s="2">
        <v>453</v>
      </c>
      <c r="I476" s="2">
        <f>ROUND(H476-G476, 2)</f>
        <v>0</v>
      </c>
      <c r="J476">
        <f>IF(ABS(I476)&gt;0.01, "Priority 3", "None")</f>
        <v>0</v>
      </c>
    </row>
    <row r="477" spans="1:10">
      <c r="A477" t="s">
        <v>1548</v>
      </c>
      <c r="B477" t="s">
        <v>1541</v>
      </c>
      <c r="C477">
        <v>60</v>
      </c>
      <c r="D477">
        <v>30.9</v>
      </c>
      <c r="E477">
        <f>MAX(ROUNDUP(D477, 0), C477)</f>
        <v>0</v>
      </c>
      <c r="F477" s="2">
        <v>7.55</v>
      </c>
      <c r="G477" s="2">
        <f>E477*F477</f>
        <v>0</v>
      </c>
      <c r="H477" s="2">
        <v>453</v>
      </c>
      <c r="I477" s="2">
        <f>ROUND(H477-G477, 2)</f>
        <v>0</v>
      </c>
      <c r="J477">
        <f>IF(ABS(I477)&gt;0.01, "Priority 3", "None")</f>
        <v>0</v>
      </c>
    </row>
    <row r="478" spans="1:10">
      <c r="A478" t="s">
        <v>1549</v>
      </c>
      <c r="B478" t="s">
        <v>1541</v>
      </c>
      <c r="C478">
        <v>28</v>
      </c>
      <c r="D478">
        <v>36.3</v>
      </c>
      <c r="E478">
        <f>MAX(ROUNDUP(D478, 0), C478)</f>
        <v>0</v>
      </c>
      <c r="F478" s="2">
        <v>7.55</v>
      </c>
      <c r="G478" s="2">
        <f>E478*F478</f>
        <v>0</v>
      </c>
      <c r="H478" s="2">
        <v>279.35</v>
      </c>
      <c r="I478" s="2">
        <f>ROUND(H478-G478, 2)</f>
        <v>0</v>
      </c>
      <c r="J478">
        <f>IF(ABS(I478)&gt;0.01, "Priority 3", "None")</f>
        <v>0</v>
      </c>
    </row>
    <row r="479" spans="1:10">
      <c r="A479" t="s">
        <v>1550</v>
      </c>
      <c r="B479" t="s">
        <v>1541</v>
      </c>
      <c r="C479">
        <v>28</v>
      </c>
      <c r="D479">
        <v>43.9</v>
      </c>
      <c r="E479">
        <f>MAX(ROUNDUP(D479, 0), C479)</f>
        <v>0</v>
      </c>
      <c r="F479" s="2">
        <v>7.55</v>
      </c>
      <c r="G479" s="2">
        <f>E479*F479</f>
        <v>0</v>
      </c>
      <c r="H479" s="2">
        <v>332.2</v>
      </c>
      <c r="I479" s="2">
        <f>ROUND(H479-G479, 2)</f>
        <v>0</v>
      </c>
      <c r="J479">
        <f>IF(ABS(I479)&gt;0.01, "Priority 3", "None")</f>
        <v>0</v>
      </c>
    </row>
    <row r="480" spans="1:10">
      <c r="A480" t="s">
        <v>1551</v>
      </c>
      <c r="B480" t="s">
        <v>1541</v>
      </c>
      <c r="C480">
        <v>70</v>
      </c>
      <c r="D480">
        <v>38.7</v>
      </c>
      <c r="E480">
        <f>MAX(ROUNDUP(D480, 0), C480)</f>
        <v>0</v>
      </c>
      <c r="F480" s="2">
        <v>7.55</v>
      </c>
      <c r="G480" s="2">
        <f>E480*F480</f>
        <v>0</v>
      </c>
      <c r="H480" s="2">
        <v>528.5</v>
      </c>
      <c r="I480" s="2">
        <f>ROUND(H480-G480, 2)</f>
        <v>0</v>
      </c>
      <c r="J480">
        <f>IF(ABS(I480)&gt;0.01, "Priority 3", "None")</f>
        <v>0</v>
      </c>
    </row>
    <row r="481" spans="1:10">
      <c r="A481" t="s">
        <v>1552</v>
      </c>
      <c r="B481" t="s">
        <v>1541</v>
      </c>
      <c r="C481">
        <v>45</v>
      </c>
      <c r="D481">
        <v>61.3</v>
      </c>
      <c r="E481">
        <f>MAX(ROUNDUP(D481, 0), C481)</f>
        <v>0</v>
      </c>
      <c r="F481" s="2">
        <v>7.55</v>
      </c>
      <c r="G481" s="2">
        <f>E481*F481</f>
        <v>0</v>
      </c>
      <c r="H481" s="2">
        <v>468.1</v>
      </c>
      <c r="I481" s="2">
        <f>ROUND(H481-G481, 2)</f>
        <v>0</v>
      </c>
      <c r="J481">
        <f>IF(ABS(I481)&gt;0.01, "Priority 3", "None")</f>
        <v>0</v>
      </c>
    </row>
    <row r="482" spans="1:10">
      <c r="A482" t="s">
        <v>1553</v>
      </c>
      <c r="B482" t="s">
        <v>1541</v>
      </c>
      <c r="C482">
        <v>24</v>
      </c>
      <c r="D482">
        <v>41.6</v>
      </c>
      <c r="E482">
        <f>MAX(ROUNDUP(D482, 0), C482)</f>
        <v>0</v>
      </c>
      <c r="F482" s="2">
        <v>7.55</v>
      </c>
      <c r="G482" s="2">
        <f>E482*F482</f>
        <v>0</v>
      </c>
      <c r="H482" s="2">
        <v>317.1</v>
      </c>
      <c r="I482" s="2">
        <f>ROUND(H482-G482, 2)</f>
        <v>0</v>
      </c>
      <c r="J482">
        <f>IF(ABS(I482)&gt;0.01, "Priority 3", "None")</f>
        <v>0</v>
      </c>
    </row>
    <row r="483" spans="1:10">
      <c r="A483" t="s">
        <v>1554</v>
      </c>
      <c r="B483" t="s">
        <v>1541</v>
      </c>
      <c r="C483">
        <v>32</v>
      </c>
      <c r="D483">
        <v>38.4</v>
      </c>
      <c r="E483">
        <f>MAX(ROUNDUP(D483, 0), C483)</f>
        <v>0</v>
      </c>
      <c r="F483" s="2">
        <v>7.55</v>
      </c>
      <c r="G483" s="2">
        <f>E483*F483</f>
        <v>0</v>
      </c>
      <c r="H483" s="2">
        <v>294.45</v>
      </c>
      <c r="I483" s="2">
        <f>ROUND(H483-G483, 2)</f>
        <v>0</v>
      </c>
      <c r="J483">
        <f>IF(ABS(I483)&gt;0.01, "Priority 3", "None")</f>
        <v>0</v>
      </c>
    </row>
    <row r="484" spans="1:10">
      <c r="A484" t="s">
        <v>1555</v>
      </c>
      <c r="B484" t="s">
        <v>1541</v>
      </c>
      <c r="C484">
        <v>32</v>
      </c>
      <c r="D484">
        <v>25.7</v>
      </c>
      <c r="E484">
        <f>MAX(ROUNDUP(D484, 0), C484)</f>
        <v>0</v>
      </c>
      <c r="F484" s="2">
        <v>7.55</v>
      </c>
      <c r="G484" s="2">
        <f>E484*F484</f>
        <v>0</v>
      </c>
      <c r="H484" s="2">
        <v>241.6</v>
      </c>
      <c r="I484" s="2">
        <f>ROUND(H484-G484, 2)</f>
        <v>0</v>
      </c>
      <c r="J484">
        <f>IF(ABS(I484)&gt;0.01, "Priority 3", "None")</f>
        <v>0</v>
      </c>
    </row>
    <row r="485" spans="1:10">
      <c r="A485" t="s">
        <v>1556</v>
      </c>
      <c r="B485" t="s">
        <v>1541</v>
      </c>
      <c r="C485">
        <v>45</v>
      </c>
      <c r="D485">
        <v>48.3</v>
      </c>
      <c r="E485">
        <f>MAX(ROUNDUP(D485, 0), C485)</f>
        <v>0</v>
      </c>
      <c r="F485" s="2">
        <v>7.55</v>
      </c>
      <c r="G485" s="2">
        <f>E485*F485</f>
        <v>0</v>
      </c>
      <c r="H485" s="2">
        <v>369.95</v>
      </c>
      <c r="I485" s="2">
        <f>ROUND(H485-G485, 2)</f>
        <v>0</v>
      </c>
      <c r="J485">
        <f>IF(ABS(I485)&gt;0.01, "Priority 3", "None")</f>
        <v>0</v>
      </c>
    </row>
    <row r="486" spans="1:10">
      <c r="A486" t="s">
        <v>1557</v>
      </c>
      <c r="B486" t="s">
        <v>1541</v>
      </c>
      <c r="C486">
        <v>32</v>
      </c>
      <c r="D486">
        <v>48.3</v>
      </c>
      <c r="E486">
        <f>MAX(ROUNDUP(D486, 0), C486)</f>
        <v>0</v>
      </c>
      <c r="F486" s="2">
        <v>7.55</v>
      </c>
      <c r="G486" s="2">
        <f>E486*F486</f>
        <v>0</v>
      </c>
      <c r="H486" s="2">
        <v>369.95</v>
      </c>
      <c r="I486" s="2">
        <f>ROUND(H486-G486, 2)</f>
        <v>0</v>
      </c>
      <c r="J486">
        <f>IF(ABS(I486)&gt;0.01, "Priority 3", "None")</f>
        <v>0</v>
      </c>
    </row>
    <row r="487" spans="1:10">
      <c r="A487" t="s">
        <v>1558</v>
      </c>
      <c r="B487" t="s">
        <v>1541</v>
      </c>
      <c r="C487">
        <v>80</v>
      </c>
      <c r="D487">
        <v>59.3</v>
      </c>
      <c r="E487">
        <f>MAX(ROUNDUP(D487, 0), C487)</f>
        <v>0</v>
      </c>
      <c r="F487" s="2">
        <v>7.55</v>
      </c>
      <c r="G487" s="2">
        <f>E487*F487</f>
        <v>0</v>
      </c>
      <c r="H487" s="2">
        <v>604</v>
      </c>
      <c r="I487" s="2">
        <f>ROUND(H487-G487, 2)</f>
        <v>0</v>
      </c>
      <c r="J487">
        <f>IF(ABS(I487)&gt;0.01, "Priority 3", "None")</f>
        <v>0</v>
      </c>
    </row>
    <row r="488" spans="1:10">
      <c r="A488" t="s">
        <v>1559</v>
      </c>
      <c r="B488" t="s">
        <v>1541</v>
      </c>
      <c r="C488">
        <v>28</v>
      </c>
      <c r="D488">
        <v>37.9</v>
      </c>
      <c r="E488">
        <f>MAX(ROUNDUP(D488, 0), C488)</f>
        <v>0</v>
      </c>
      <c r="F488" s="2">
        <v>7.55</v>
      </c>
      <c r="G488" s="2">
        <f>E488*F488</f>
        <v>0</v>
      </c>
      <c r="H488" s="2">
        <v>286.9</v>
      </c>
      <c r="I488" s="2">
        <f>ROUND(H488-G488, 2)</f>
        <v>0</v>
      </c>
      <c r="J488">
        <f>IF(ABS(I488)&gt;0.01, "Priority 3", "None")</f>
        <v>0</v>
      </c>
    </row>
    <row r="489" spans="1:10">
      <c r="A489" t="s">
        <v>1560</v>
      </c>
      <c r="B489" t="s">
        <v>1541</v>
      </c>
      <c r="C489">
        <v>70</v>
      </c>
      <c r="D489">
        <v>25.7</v>
      </c>
      <c r="E489">
        <f>MAX(ROUNDUP(D489, 0), C489)</f>
        <v>0</v>
      </c>
      <c r="F489" s="2">
        <v>7.55</v>
      </c>
      <c r="G489" s="2">
        <f>E489*F489</f>
        <v>0</v>
      </c>
      <c r="H489" s="2">
        <v>528.5</v>
      </c>
      <c r="I489" s="2">
        <f>ROUND(H489-G489, 2)</f>
        <v>0</v>
      </c>
      <c r="J489">
        <f>IF(ABS(I489)&gt;0.01, "Priority 3", "None")</f>
        <v>0</v>
      </c>
    </row>
    <row r="490" spans="1:10">
      <c r="A490" t="s">
        <v>1561</v>
      </c>
      <c r="B490" t="s">
        <v>1541</v>
      </c>
      <c r="C490">
        <v>28</v>
      </c>
      <c r="D490">
        <v>44.4</v>
      </c>
      <c r="E490">
        <f>MAX(ROUNDUP(D490, 0), C490)</f>
        <v>0</v>
      </c>
      <c r="F490" s="2">
        <v>7.55</v>
      </c>
      <c r="G490" s="2">
        <f>E490*F490</f>
        <v>0</v>
      </c>
      <c r="H490" s="2">
        <v>339.75</v>
      </c>
      <c r="I490" s="2">
        <f>ROUND(H490-G490, 2)</f>
        <v>0</v>
      </c>
      <c r="J490">
        <f>IF(ABS(I490)&gt;0.01, "Priority 3", "None")</f>
        <v>0</v>
      </c>
    </row>
    <row r="491" spans="1:10">
      <c r="A491" t="s">
        <v>1562</v>
      </c>
      <c r="B491" t="s">
        <v>1541</v>
      </c>
      <c r="C491">
        <v>32</v>
      </c>
      <c r="D491">
        <v>55.7</v>
      </c>
      <c r="E491">
        <f>MAX(ROUNDUP(D491, 0), C491)</f>
        <v>0</v>
      </c>
      <c r="F491" s="2">
        <v>7.55</v>
      </c>
      <c r="G491" s="2">
        <f>E491*F491</f>
        <v>0</v>
      </c>
      <c r="H491" s="2">
        <v>422.8</v>
      </c>
      <c r="I491" s="2">
        <f>ROUND(H491-G491, 2)</f>
        <v>0</v>
      </c>
      <c r="J491">
        <f>IF(ABS(I491)&gt;0.01, "Priority 3", "None")</f>
        <v>0</v>
      </c>
    </row>
    <row r="492" spans="1:10">
      <c r="A492" t="s">
        <v>1563</v>
      </c>
      <c r="B492" t="s">
        <v>1541</v>
      </c>
      <c r="C492">
        <v>36</v>
      </c>
      <c r="D492">
        <v>39.3</v>
      </c>
      <c r="E492">
        <f>MAX(ROUNDUP(D492, 0), C492)</f>
        <v>0</v>
      </c>
      <c r="F492" s="2">
        <v>7.55</v>
      </c>
      <c r="G492" s="2">
        <f>E492*F492</f>
        <v>0</v>
      </c>
      <c r="H492" s="2">
        <v>302</v>
      </c>
      <c r="I492" s="2">
        <f>ROUND(H492-G492, 2)</f>
        <v>0</v>
      </c>
      <c r="J492">
        <f>IF(ABS(I492)&gt;0.01, "Priority 3", "None")</f>
        <v>0</v>
      </c>
    </row>
    <row r="493" spans="1:10">
      <c r="A493" t="s">
        <v>1564</v>
      </c>
      <c r="B493" t="s">
        <v>1541</v>
      </c>
      <c r="C493">
        <v>32</v>
      </c>
      <c r="D493">
        <v>49.2</v>
      </c>
      <c r="E493">
        <f>MAX(ROUNDUP(D493, 0), C493)</f>
        <v>0</v>
      </c>
      <c r="F493" s="2">
        <v>7.55</v>
      </c>
      <c r="G493" s="2">
        <f>E493*F493</f>
        <v>0</v>
      </c>
      <c r="H493" s="2">
        <v>377.5</v>
      </c>
      <c r="I493" s="2">
        <f>ROUND(H493-G493, 2)</f>
        <v>0</v>
      </c>
      <c r="J493">
        <f>IF(ABS(I493)&gt;0.01, "Priority 3", "None")</f>
        <v>0</v>
      </c>
    </row>
    <row r="494" spans="1:10">
      <c r="A494" t="s">
        <v>1565</v>
      </c>
      <c r="B494" t="s">
        <v>1541</v>
      </c>
      <c r="C494">
        <v>28</v>
      </c>
      <c r="D494">
        <v>34.1</v>
      </c>
      <c r="E494">
        <f>MAX(ROUNDUP(D494, 0), C494)</f>
        <v>0</v>
      </c>
      <c r="F494" s="2">
        <v>7.55</v>
      </c>
      <c r="G494" s="2">
        <f>E494*F494</f>
        <v>0</v>
      </c>
      <c r="H494" s="2">
        <v>264.25</v>
      </c>
      <c r="I494" s="2">
        <f>ROUND(H494-G494, 2)</f>
        <v>0</v>
      </c>
      <c r="J494">
        <f>IF(ABS(I494)&gt;0.01, "Priority 3", "None")</f>
        <v>0</v>
      </c>
    </row>
    <row r="495" spans="1:10">
      <c r="A495" t="s">
        <v>1566</v>
      </c>
      <c r="B495" t="s">
        <v>1541</v>
      </c>
      <c r="C495">
        <v>40</v>
      </c>
      <c r="D495">
        <v>21.1</v>
      </c>
      <c r="E495">
        <f>MAX(ROUNDUP(D495, 0), C495)</f>
        <v>0</v>
      </c>
      <c r="F495" s="2">
        <v>7.55</v>
      </c>
      <c r="G495" s="2">
        <f>E495*F495</f>
        <v>0</v>
      </c>
      <c r="H495" s="2">
        <v>302</v>
      </c>
      <c r="I495" s="2">
        <f>ROUND(H495-G495, 2)</f>
        <v>0</v>
      </c>
      <c r="J495">
        <f>IF(ABS(I495)&gt;0.01, "Priority 3", "None")</f>
        <v>0</v>
      </c>
    </row>
    <row r="496" spans="1:10">
      <c r="A496" t="s">
        <v>1567</v>
      </c>
      <c r="B496" t="s">
        <v>1541</v>
      </c>
      <c r="C496">
        <v>24</v>
      </c>
      <c r="D496">
        <v>35.2</v>
      </c>
      <c r="E496">
        <f>MAX(ROUNDUP(D496, 0), C496)</f>
        <v>0</v>
      </c>
      <c r="F496" s="2">
        <v>7.55</v>
      </c>
      <c r="G496" s="2">
        <f>E496*F496</f>
        <v>0</v>
      </c>
      <c r="H496" s="2">
        <v>271.8</v>
      </c>
      <c r="I496" s="2">
        <f>ROUND(H496-G496, 2)</f>
        <v>0</v>
      </c>
      <c r="J496">
        <f>IF(ABS(I496)&gt;0.01, "Priority 3", "None")</f>
        <v>0</v>
      </c>
    </row>
    <row r="497" spans="1:10">
      <c r="A497" t="s">
        <v>1568</v>
      </c>
      <c r="B497" t="s">
        <v>1541</v>
      </c>
      <c r="C497">
        <v>45</v>
      </c>
      <c r="D497">
        <v>42.1</v>
      </c>
      <c r="E497">
        <f>MAX(ROUNDUP(D497, 0), C497)</f>
        <v>0</v>
      </c>
      <c r="F497" s="2">
        <v>7.55</v>
      </c>
      <c r="G497" s="2">
        <f>E497*F497</f>
        <v>0</v>
      </c>
      <c r="H497" s="2">
        <v>339.75</v>
      </c>
      <c r="I497" s="2">
        <f>ROUND(H497-G497, 2)</f>
        <v>0</v>
      </c>
      <c r="J497">
        <f>IF(ABS(I497)&gt;0.01, "Priority 3", "None")</f>
        <v>0</v>
      </c>
    </row>
    <row r="498" spans="1:10">
      <c r="A498" t="s">
        <v>1569</v>
      </c>
      <c r="B498" t="s">
        <v>1541</v>
      </c>
      <c r="C498">
        <v>32</v>
      </c>
      <c r="D498">
        <v>24.5</v>
      </c>
      <c r="E498">
        <f>MAX(ROUNDUP(D498, 0), C498)</f>
        <v>0</v>
      </c>
      <c r="F498" s="2">
        <v>7.55</v>
      </c>
      <c r="G498" s="2">
        <f>E498*F498</f>
        <v>0</v>
      </c>
      <c r="H498" s="2">
        <v>241.6</v>
      </c>
      <c r="I498" s="2">
        <f>ROUND(H498-G498, 2)</f>
        <v>0</v>
      </c>
      <c r="J498">
        <f>IF(ABS(I498)&gt;0.01, "Priority 3", "None")</f>
        <v>0</v>
      </c>
    </row>
    <row r="499" spans="1:10">
      <c r="A499" t="s">
        <v>1570</v>
      </c>
      <c r="B499" t="s">
        <v>1541</v>
      </c>
      <c r="C499">
        <v>36</v>
      </c>
      <c r="D499">
        <v>30.4</v>
      </c>
      <c r="E499">
        <f>MAX(ROUNDUP(D499, 0), C499)</f>
        <v>0</v>
      </c>
      <c r="F499" s="2">
        <v>7.55</v>
      </c>
      <c r="G499" s="2">
        <f>E499*F499</f>
        <v>0</v>
      </c>
      <c r="H499" s="2">
        <v>271.8</v>
      </c>
      <c r="I499" s="2">
        <f>ROUND(H499-G499, 2)</f>
        <v>0</v>
      </c>
      <c r="J499">
        <f>IF(ABS(I499)&gt;0.01, "Priority 3", "None")</f>
        <v>0</v>
      </c>
    </row>
    <row r="500" spans="1:10">
      <c r="A500" t="s">
        <v>1571</v>
      </c>
      <c r="B500" t="s">
        <v>1541</v>
      </c>
      <c r="C500">
        <v>24</v>
      </c>
      <c r="D500">
        <v>39.6</v>
      </c>
      <c r="E500">
        <f>MAX(ROUNDUP(D500, 0), C500)</f>
        <v>0</v>
      </c>
      <c r="F500" s="2">
        <v>7.55</v>
      </c>
      <c r="G500" s="2">
        <f>E500*F500</f>
        <v>0</v>
      </c>
      <c r="H500" s="2">
        <v>302</v>
      </c>
      <c r="I500" s="2">
        <f>ROUND(H500-G500, 2)</f>
        <v>0</v>
      </c>
      <c r="J500">
        <f>IF(ABS(I500)&gt;0.01, "Priority 3", "None")</f>
        <v>0</v>
      </c>
    </row>
    <row r="501" spans="1:10">
      <c r="A501" t="s">
        <v>1572</v>
      </c>
      <c r="B501" t="s">
        <v>1541</v>
      </c>
      <c r="C501">
        <v>50</v>
      </c>
      <c r="D501">
        <v>41.5</v>
      </c>
      <c r="E501">
        <f>MAX(ROUNDUP(D501, 0), C501)</f>
        <v>0</v>
      </c>
      <c r="F501" s="2">
        <v>7.55</v>
      </c>
      <c r="G501" s="2">
        <f>E501*F501</f>
        <v>0</v>
      </c>
      <c r="H501" s="2">
        <v>377.5</v>
      </c>
      <c r="I501" s="2">
        <f>ROUND(H501-G501, 2)</f>
        <v>0</v>
      </c>
      <c r="J501">
        <f>IF(ABS(I501)&gt;0.01, "Priority 3", "None")</f>
        <v>0</v>
      </c>
    </row>
    <row r="502" spans="1:10">
      <c r="A502" t="s">
        <v>1573</v>
      </c>
      <c r="B502" t="s">
        <v>1541</v>
      </c>
      <c r="C502">
        <v>32</v>
      </c>
      <c r="D502">
        <v>19.5</v>
      </c>
      <c r="E502">
        <f>MAX(ROUNDUP(D502, 0), C502)</f>
        <v>0</v>
      </c>
      <c r="F502" s="2">
        <v>7.55</v>
      </c>
      <c r="G502" s="2">
        <f>E502*F502</f>
        <v>0</v>
      </c>
      <c r="H502" s="2">
        <v>241.6</v>
      </c>
      <c r="I502" s="2">
        <f>ROUND(H502-G502, 2)</f>
        <v>0</v>
      </c>
      <c r="J502">
        <f>IF(ABS(I502)&gt;0.01, "Priority 3", "None")</f>
        <v>0</v>
      </c>
    </row>
    <row r="503" spans="1:10">
      <c r="A503" t="s">
        <v>1574</v>
      </c>
      <c r="B503" t="s">
        <v>1541</v>
      </c>
      <c r="C503">
        <v>60</v>
      </c>
      <c r="D503">
        <v>23.2</v>
      </c>
      <c r="E503">
        <f>MAX(ROUNDUP(D503, 0), C503)</f>
        <v>0</v>
      </c>
      <c r="F503" s="2">
        <v>7.55</v>
      </c>
      <c r="G503" s="2">
        <f>E503*F503</f>
        <v>0</v>
      </c>
      <c r="H503" s="2">
        <v>453</v>
      </c>
      <c r="I503" s="2">
        <f>ROUND(H503-G503, 2)</f>
        <v>0</v>
      </c>
      <c r="J503">
        <f>IF(ABS(I503)&gt;0.01, "Priority 3", "None")</f>
        <v>0</v>
      </c>
    </row>
    <row r="504" spans="1:10">
      <c r="A504" t="s">
        <v>1575</v>
      </c>
      <c r="B504" t="s">
        <v>1541</v>
      </c>
      <c r="C504">
        <v>32</v>
      </c>
      <c r="D504">
        <v>20.4</v>
      </c>
      <c r="E504">
        <f>MAX(ROUNDUP(D504, 0), C504)</f>
        <v>0</v>
      </c>
      <c r="F504" s="2">
        <v>7.55</v>
      </c>
      <c r="G504" s="2">
        <f>E504*F504</f>
        <v>0</v>
      </c>
      <c r="H504" s="2">
        <v>241.6</v>
      </c>
      <c r="I504" s="2">
        <f>ROUND(H504-G504, 2)</f>
        <v>0</v>
      </c>
      <c r="J504">
        <f>IF(ABS(I504)&gt;0.01, "Priority 3", "None")</f>
        <v>0</v>
      </c>
    </row>
    <row r="505" spans="1:10">
      <c r="A505" t="s">
        <v>1576</v>
      </c>
      <c r="B505" t="s">
        <v>1541</v>
      </c>
      <c r="C505">
        <v>50</v>
      </c>
      <c r="D505">
        <v>42.6</v>
      </c>
      <c r="E505">
        <f>MAX(ROUNDUP(D505, 0), C505)</f>
        <v>0</v>
      </c>
      <c r="F505" s="2">
        <v>7.55</v>
      </c>
      <c r="G505" s="2">
        <f>E505*F505</f>
        <v>0</v>
      </c>
      <c r="H505" s="2">
        <v>377.5</v>
      </c>
      <c r="I505" s="2">
        <f>ROUND(H505-G505, 2)</f>
        <v>0</v>
      </c>
      <c r="J505">
        <f>IF(ABS(I505)&gt;0.01, "Priority 3", "None")</f>
        <v>0</v>
      </c>
    </row>
    <row r="506" spans="1:10">
      <c r="A506" t="s">
        <v>1577</v>
      </c>
      <c r="B506" t="s">
        <v>1541</v>
      </c>
      <c r="C506">
        <v>32</v>
      </c>
      <c r="D506">
        <v>32.9</v>
      </c>
      <c r="E506">
        <f>MAX(ROUNDUP(D506, 0), C506)</f>
        <v>0</v>
      </c>
      <c r="F506" s="2">
        <v>7.55</v>
      </c>
      <c r="G506" s="2">
        <f>E506*F506</f>
        <v>0</v>
      </c>
      <c r="H506" s="2">
        <v>249.15</v>
      </c>
      <c r="I506" s="2">
        <f>ROUND(H506-G506, 2)</f>
        <v>0</v>
      </c>
      <c r="J506">
        <f>IF(ABS(I506)&gt;0.01, "Priority 3", "None")</f>
        <v>0</v>
      </c>
    </row>
    <row r="507" spans="1:10">
      <c r="A507" t="s">
        <v>1578</v>
      </c>
      <c r="B507" t="s">
        <v>1541</v>
      </c>
      <c r="C507">
        <v>36</v>
      </c>
      <c r="D507">
        <v>23</v>
      </c>
      <c r="E507">
        <f>MAX(ROUNDUP(D507, 0), C507)</f>
        <v>0</v>
      </c>
      <c r="F507" s="2">
        <v>7.55</v>
      </c>
      <c r="G507" s="2">
        <f>E507*F507</f>
        <v>0</v>
      </c>
      <c r="H507" s="2">
        <v>271.8</v>
      </c>
      <c r="I507" s="2">
        <f>ROUND(H507-G507, 2)</f>
        <v>0</v>
      </c>
      <c r="J507">
        <f>IF(ABS(I507)&gt;0.01, "Priority 3", "None")</f>
        <v>0</v>
      </c>
    </row>
    <row r="508" spans="1:10">
      <c r="A508" t="s">
        <v>1579</v>
      </c>
      <c r="B508" t="s">
        <v>1541</v>
      </c>
      <c r="C508">
        <v>70</v>
      </c>
      <c r="D508">
        <v>21.3</v>
      </c>
      <c r="E508">
        <f>MAX(ROUNDUP(D508, 0), C508)</f>
        <v>0</v>
      </c>
      <c r="F508" s="2">
        <v>7.55</v>
      </c>
      <c r="G508" s="2">
        <f>E508*F508</f>
        <v>0</v>
      </c>
      <c r="H508" s="2">
        <v>528.5</v>
      </c>
      <c r="I508" s="2">
        <f>ROUND(H508-G508, 2)</f>
        <v>0</v>
      </c>
      <c r="J508">
        <f>IF(ABS(I508)&gt;0.01, "Priority 3", "None")</f>
        <v>0</v>
      </c>
    </row>
    <row r="509" spans="1:10">
      <c r="A509" t="s">
        <v>1580</v>
      </c>
      <c r="B509" t="s">
        <v>1541</v>
      </c>
      <c r="C509">
        <v>40</v>
      </c>
      <c r="D509">
        <v>22.1</v>
      </c>
      <c r="E509">
        <f>MAX(ROUNDUP(D509, 0), C509)</f>
        <v>0</v>
      </c>
      <c r="F509" s="2">
        <v>7.55</v>
      </c>
      <c r="G509" s="2">
        <f>E509*F509</f>
        <v>0</v>
      </c>
      <c r="H509" s="2">
        <v>302</v>
      </c>
      <c r="I509" s="2">
        <f>ROUND(H509-G509, 2)</f>
        <v>0</v>
      </c>
      <c r="J509">
        <f>IF(ABS(I509)&gt;0.01, "Priority 3", "None")</f>
        <v>0</v>
      </c>
    </row>
    <row r="510" spans="1:10">
      <c r="A510" t="s">
        <v>1581</v>
      </c>
      <c r="B510" t="s">
        <v>1541</v>
      </c>
      <c r="C510">
        <v>28</v>
      </c>
      <c r="D510">
        <v>57.1</v>
      </c>
      <c r="E510">
        <f>MAX(ROUNDUP(D510, 0), C510)</f>
        <v>0</v>
      </c>
      <c r="F510" s="2">
        <v>7.55</v>
      </c>
      <c r="G510" s="2">
        <f>E510*F510</f>
        <v>0</v>
      </c>
      <c r="H510" s="2">
        <v>437.9</v>
      </c>
      <c r="I510" s="2">
        <f>ROUND(H510-G510, 2)</f>
        <v>0</v>
      </c>
      <c r="J510">
        <f>IF(ABS(I510)&gt;0.01, "Priority 3", "None")</f>
        <v>0</v>
      </c>
    </row>
    <row r="511" spans="1:10">
      <c r="A511" t="s">
        <v>1582</v>
      </c>
      <c r="B511" t="s">
        <v>1541</v>
      </c>
      <c r="C511">
        <v>24</v>
      </c>
      <c r="D511">
        <v>29.3</v>
      </c>
      <c r="E511">
        <f>MAX(ROUNDUP(D511, 0), C511)</f>
        <v>0</v>
      </c>
      <c r="F511" s="2">
        <v>7.55</v>
      </c>
      <c r="G511" s="2">
        <f>E511*F511</f>
        <v>0</v>
      </c>
      <c r="H511" s="2">
        <v>226.5</v>
      </c>
      <c r="I511" s="2">
        <f>ROUND(H511-G511, 2)</f>
        <v>0</v>
      </c>
      <c r="J511">
        <f>IF(ABS(I511)&gt;0.01, "Priority 3", "None")</f>
        <v>0</v>
      </c>
    </row>
    <row r="512" spans="1:10">
      <c r="A512" t="s">
        <v>1583</v>
      </c>
      <c r="B512" t="s">
        <v>1541</v>
      </c>
      <c r="C512">
        <v>36</v>
      </c>
      <c r="D512">
        <v>19</v>
      </c>
      <c r="E512">
        <f>MAX(ROUNDUP(D512, 0), C512)</f>
        <v>0</v>
      </c>
      <c r="F512" s="2">
        <v>7.55</v>
      </c>
      <c r="G512" s="2">
        <f>E512*F512</f>
        <v>0</v>
      </c>
      <c r="H512" s="2">
        <v>271.8</v>
      </c>
      <c r="I512" s="2">
        <f>ROUND(H512-G512, 2)</f>
        <v>0</v>
      </c>
      <c r="J512">
        <f>IF(ABS(I512)&gt;0.01, "Priority 3", "None")</f>
        <v>0</v>
      </c>
    </row>
    <row r="513" spans="1:10">
      <c r="A513" t="s">
        <v>1584</v>
      </c>
      <c r="B513" t="s">
        <v>1541</v>
      </c>
      <c r="C513">
        <v>24</v>
      </c>
      <c r="D513">
        <v>49.6</v>
      </c>
      <c r="E513">
        <f>MAX(ROUNDUP(D513, 0), C513)</f>
        <v>0</v>
      </c>
      <c r="F513" s="2">
        <v>7.55</v>
      </c>
      <c r="G513" s="2">
        <f>E513*F513</f>
        <v>0</v>
      </c>
      <c r="H513" s="2">
        <v>377.5</v>
      </c>
      <c r="I513" s="2">
        <f>ROUND(H513-G513, 2)</f>
        <v>0</v>
      </c>
      <c r="J513">
        <f>IF(ABS(I513)&gt;0.01, "Priority 3", "None")</f>
        <v>0</v>
      </c>
    </row>
    <row r="514" spans="1:10">
      <c r="A514" t="s">
        <v>1585</v>
      </c>
      <c r="B514" t="s">
        <v>1541</v>
      </c>
      <c r="C514">
        <v>40</v>
      </c>
      <c r="D514">
        <v>49.2</v>
      </c>
      <c r="E514">
        <f>MAX(ROUNDUP(D514, 0), C514)</f>
        <v>0</v>
      </c>
      <c r="F514" s="2">
        <v>7.55</v>
      </c>
      <c r="G514" s="2">
        <f>E514*F514</f>
        <v>0</v>
      </c>
      <c r="H514" s="2">
        <v>377.5</v>
      </c>
      <c r="I514" s="2">
        <f>ROUND(H514-G514, 2)</f>
        <v>0</v>
      </c>
      <c r="J514">
        <f>IF(ABS(I514)&gt;0.01, "Priority 3", "None")</f>
        <v>0</v>
      </c>
    </row>
    <row r="515" spans="1:10">
      <c r="A515" t="s">
        <v>1586</v>
      </c>
      <c r="B515" t="s">
        <v>1541</v>
      </c>
      <c r="C515">
        <v>40</v>
      </c>
      <c r="D515">
        <v>29.4</v>
      </c>
      <c r="E515">
        <f>MAX(ROUNDUP(D515, 0), C515)</f>
        <v>0</v>
      </c>
      <c r="F515" s="2">
        <v>7.55</v>
      </c>
      <c r="G515" s="2">
        <f>E515*F515</f>
        <v>0</v>
      </c>
      <c r="H515" s="2">
        <v>302</v>
      </c>
      <c r="I515" s="2">
        <f>ROUND(H515-G515, 2)</f>
        <v>0</v>
      </c>
      <c r="J515">
        <f>IF(ABS(I515)&gt;0.01, "Priority 3", "None")</f>
        <v>0</v>
      </c>
    </row>
    <row r="516" spans="1:10">
      <c r="A516" t="s">
        <v>1587</v>
      </c>
      <c r="B516" t="s">
        <v>1541</v>
      </c>
      <c r="C516">
        <v>36</v>
      </c>
      <c r="D516">
        <v>39.1</v>
      </c>
      <c r="E516">
        <f>MAX(ROUNDUP(D516, 0), C516)</f>
        <v>0</v>
      </c>
      <c r="F516" s="2">
        <v>7.55</v>
      </c>
      <c r="G516" s="2">
        <f>E516*F516</f>
        <v>0</v>
      </c>
      <c r="H516" s="2">
        <v>302</v>
      </c>
      <c r="I516" s="2">
        <f>ROUND(H516-G516, 2)</f>
        <v>0</v>
      </c>
      <c r="J516">
        <f>IF(ABS(I516)&gt;0.01, "Priority 3", "None")</f>
        <v>0</v>
      </c>
    </row>
    <row r="517" spans="1:10">
      <c r="A517" t="s">
        <v>1588</v>
      </c>
      <c r="B517" t="s">
        <v>1541</v>
      </c>
      <c r="C517">
        <v>40</v>
      </c>
      <c r="D517">
        <v>61.9</v>
      </c>
      <c r="E517">
        <f>MAX(ROUNDUP(D517, 0), C517)</f>
        <v>0</v>
      </c>
      <c r="F517" s="2">
        <v>7.55</v>
      </c>
      <c r="G517" s="2">
        <f>E517*F517</f>
        <v>0</v>
      </c>
      <c r="H517" s="2">
        <v>468.1</v>
      </c>
      <c r="I517" s="2">
        <f>ROUND(H517-G517, 2)</f>
        <v>0</v>
      </c>
      <c r="J517">
        <f>IF(ABS(I517)&gt;0.01, "Priority 3", "None")</f>
        <v>0</v>
      </c>
    </row>
    <row r="518" spans="1:10">
      <c r="A518" t="s">
        <v>1589</v>
      </c>
      <c r="B518" t="s">
        <v>1541</v>
      </c>
      <c r="C518">
        <v>50</v>
      </c>
      <c r="D518">
        <v>21</v>
      </c>
      <c r="E518">
        <f>MAX(ROUNDUP(D518, 0), C518)</f>
        <v>0</v>
      </c>
      <c r="F518" s="2">
        <v>7.55</v>
      </c>
      <c r="G518" s="2">
        <f>E518*F518</f>
        <v>0</v>
      </c>
      <c r="H518" s="2">
        <v>377.5</v>
      </c>
      <c r="I518" s="2">
        <f>ROUND(H518-G518, 2)</f>
        <v>0</v>
      </c>
      <c r="J518">
        <f>IF(ABS(I518)&gt;0.01, "Priority 3", "None")</f>
        <v>0</v>
      </c>
    </row>
    <row r="519" spans="1:10">
      <c r="A519" t="s">
        <v>1590</v>
      </c>
      <c r="B519" t="s">
        <v>1541</v>
      </c>
      <c r="C519">
        <v>70</v>
      </c>
      <c r="D519">
        <v>19.3</v>
      </c>
      <c r="E519">
        <f>MAX(ROUNDUP(D519, 0), C519)</f>
        <v>0</v>
      </c>
      <c r="F519" s="2">
        <v>7.55</v>
      </c>
      <c r="G519" s="2">
        <f>E519*F519</f>
        <v>0</v>
      </c>
      <c r="H519" s="2">
        <v>528.5</v>
      </c>
      <c r="I519" s="2">
        <f>ROUND(H519-G519, 2)</f>
        <v>0</v>
      </c>
      <c r="J519">
        <f>IF(ABS(I519)&gt;0.01, "Priority 3", "None")</f>
        <v>0</v>
      </c>
    </row>
    <row r="520" spans="1:10">
      <c r="A520" t="s">
        <v>1591</v>
      </c>
      <c r="B520" t="s">
        <v>1541</v>
      </c>
      <c r="C520">
        <v>28</v>
      </c>
      <c r="D520">
        <v>26.7</v>
      </c>
      <c r="E520">
        <f>MAX(ROUNDUP(D520, 0), C520)</f>
        <v>0</v>
      </c>
      <c r="F520" s="2">
        <v>7.55</v>
      </c>
      <c r="G520" s="2">
        <f>E520*F520</f>
        <v>0</v>
      </c>
      <c r="H520" s="2">
        <v>211.4</v>
      </c>
      <c r="I520" s="2">
        <f>ROUND(H520-G520, 2)</f>
        <v>0</v>
      </c>
      <c r="J520">
        <f>IF(ABS(I520)&gt;0.01, "Priority 3", "None")</f>
        <v>0</v>
      </c>
    </row>
    <row r="521" spans="1:10">
      <c r="A521" t="s">
        <v>1592</v>
      </c>
      <c r="B521" t="s">
        <v>1541</v>
      </c>
      <c r="C521">
        <v>50</v>
      </c>
      <c r="D521">
        <v>43.4</v>
      </c>
      <c r="E521">
        <f>MAX(ROUNDUP(D521, 0), C521)</f>
        <v>0</v>
      </c>
      <c r="F521" s="2">
        <v>7.55</v>
      </c>
      <c r="G521" s="2">
        <f>E521*F521</f>
        <v>0</v>
      </c>
      <c r="H521" s="2">
        <v>377.5</v>
      </c>
      <c r="I521" s="2">
        <f>ROUND(H521-G521, 2)</f>
        <v>0</v>
      </c>
      <c r="J521">
        <f>IF(ABS(I521)&gt;0.01, "Priority 3", "None")</f>
        <v>0</v>
      </c>
    </row>
    <row r="522" spans="1:10">
      <c r="A522" t="s">
        <v>1593</v>
      </c>
      <c r="B522" t="s">
        <v>1541</v>
      </c>
      <c r="C522">
        <v>32</v>
      </c>
      <c r="D522">
        <v>22.3</v>
      </c>
      <c r="E522">
        <f>MAX(ROUNDUP(D522, 0), C522)</f>
        <v>0</v>
      </c>
      <c r="F522" s="2">
        <v>7.55</v>
      </c>
      <c r="G522" s="2">
        <f>E522*F522</f>
        <v>0</v>
      </c>
      <c r="H522" s="2">
        <v>241.6</v>
      </c>
      <c r="I522" s="2">
        <f>ROUND(H522-G522, 2)</f>
        <v>0</v>
      </c>
      <c r="J522">
        <f>IF(ABS(I522)&gt;0.01, "Priority 3", "None")</f>
        <v>0</v>
      </c>
    </row>
    <row r="523" spans="1:10">
      <c r="A523" t="s">
        <v>1594</v>
      </c>
      <c r="B523" t="s">
        <v>1541</v>
      </c>
      <c r="C523">
        <v>28</v>
      </c>
      <c r="D523">
        <v>30.1</v>
      </c>
      <c r="E523">
        <f>MAX(ROUNDUP(D523, 0), C523)</f>
        <v>0</v>
      </c>
      <c r="F523" s="2">
        <v>7.55</v>
      </c>
      <c r="G523" s="2">
        <f>E523*F523</f>
        <v>0</v>
      </c>
      <c r="H523" s="2">
        <v>234.05</v>
      </c>
      <c r="I523" s="2">
        <f>ROUND(H523-G523, 2)</f>
        <v>0</v>
      </c>
      <c r="J523">
        <f>IF(ABS(I523)&gt;0.01, "Priority 3", "None")</f>
        <v>0</v>
      </c>
    </row>
    <row r="524" spans="1:10">
      <c r="A524" t="s">
        <v>1595</v>
      </c>
      <c r="B524" t="s">
        <v>1541</v>
      </c>
      <c r="C524">
        <v>50</v>
      </c>
      <c r="D524">
        <v>21.8</v>
      </c>
      <c r="E524">
        <f>MAX(ROUNDUP(D524, 0), C524)</f>
        <v>0</v>
      </c>
      <c r="F524" s="2">
        <v>7.55</v>
      </c>
      <c r="G524" s="2">
        <f>E524*F524</f>
        <v>0</v>
      </c>
      <c r="H524" s="2">
        <v>377.5</v>
      </c>
      <c r="I524" s="2">
        <f>ROUND(H524-G524, 2)</f>
        <v>0</v>
      </c>
      <c r="J524">
        <f>IF(ABS(I524)&gt;0.01, "Priority 3", "None")</f>
        <v>0</v>
      </c>
    </row>
    <row r="525" spans="1:10">
      <c r="A525" t="s">
        <v>1596</v>
      </c>
      <c r="B525" t="s">
        <v>1541</v>
      </c>
      <c r="C525">
        <v>32</v>
      </c>
      <c r="D525">
        <v>32.5</v>
      </c>
      <c r="E525">
        <f>MAX(ROUNDUP(D525, 0), C525)</f>
        <v>0</v>
      </c>
      <c r="F525" s="2">
        <v>7.55</v>
      </c>
      <c r="G525" s="2">
        <f>E525*F525</f>
        <v>0</v>
      </c>
      <c r="H525" s="2">
        <v>249.15</v>
      </c>
      <c r="I525" s="2">
        <f>ROUND(H525-G525, 2)</f>
        <v>0</v>
      </c>
      <c r="J525">
        <f>IF(ABS(I525)&gt;0.01, "Priority 3", "None")</f>
        <v>0</v>
      </c>
    </row>
    <row r="526" spans="1:10">
      <c r="A526" t="s">
        <v>1597</v>
      </c>
      <c r="B526" t="s">
        <v>1541</v>
      </c>
      <c r="C526">
        <v>24</v>
      </c>
      <c r="D526">
        <v>43.2</v>
      </c>
      <c r="E526">
        <f>MAX(ROUNDUP(D526, 0), C526)</f>
        <v>0</v>
      </c>
      <c r="F526" s="2">
        <v>7.55</v>
      </c>
      <c r="G526" s="2">
        <f>E526*F526</f>
        <v>0</v>
      </c>
      <c r="H526" s="2">
        <v>332.2</v>
      </c>
      <c r="I526" s="2">
        <f>ROUND(H526-G526, 2)</f>
        <v>0</v>
      </c>
      <c r="J526">
        <f>IF(ABS(I526)&gt;0.01, "Priority 3", "None")</f>
        <v>0</v>
      </c>
    </row>
    <row r="527" spans="1:10">
      <c r="A527" t="s">
        <v>1598</v>
      </c>
      <c r="B527" t="s">
        <v>1541</v>
      </c>
      <c r="C527">
        <v>36</v>
      </c>
      <c r="D527">
        <v>60.1</v>
      </c>
      <c r="E527">
        <f>MAX(ROUNDUP(D527, 0), C527)</f>
        <v>0</v>
      </c>
      <c r="F527" s="2">
        <v>7.55</v>
      </c>
      <c r="G527" s="2">
        <f>E527*F527</f>
        <v>0</v>
      </c>
      <c r="H527" s="2">
        <v>460.55</v>
      </c>
      <c r="I527" s="2">
        <f>ROUND(H527-G527, 2)</f>
        <v>0</v>
      </c>
      <c r="J527">
        <f>IF(ABS(I527)&gt;0.01, "Priority 3", "None")</f>
        <v>0</v>
      </c>
    </row>
    <row r="528" spans="1:10">
      <c r="A528" t="s">
        <v>1599</v>
      </c>
      <c r="B528" t="s">
        <v>1541</v>
      </c>
      <c r="C528">
        <v>36</v>
      </c>
      <c r="D528">
        <v>44.2</v>
      </c>
      <c r="E528">
        <f>MAX(ROUNDUP(D528, 0), C528)</f>
        <v>0</v>
      </c>
      <c r="F528" s="2">
        <v>7.55</v>
      </c>
      <c r="G528" s="2">
        <f>E528*F528</f>
        <v>0</v>
      </c>
      <c r="H528" s="2">
        <v>339.75</v>
      </c>
      <c r="I528" s="2">
        <f>ROUND(H528-G528, 2)</f>
        <v>0</v>
      </c>
      <c r="J528">
        <f>IF(ABS(I528)&gt;0.01, "Priority 3", "None")</f>
        <v>0</v>
      </c>
    </row>
    <row r="529" spans="1:10">
      <c r="A529" t="s">
        <v>1600</v>
      </c>
      <c r="B529" t="s">
        <v>1541</v>
      </c>
      <c r="C529">
        <v>32</v>
      </c>
      <c r="D529">
        <v>37</v>
      </c>
      <c r="E529">
        <f>MAX(ROUNDUP(D529, 0), C529)</f>
        <v>0</v>
      </c>
      <c r="F529" s="2">
        <v>7.55</v>
      </c>
      <c r="G529" s="2">
        <f>E529*F529</f>
        <v>0</v>
      </c>
      <c r="H529" s="2">
        <v>279.35</v>
      </c>
      <c r="I529" s="2">
        <f>ROUND(H529-G529, 2)</f>
        <v>0</v>
      </c>
      <c r="J529">
        <f>IF(ABS(I529)&gt;0.01, "Priority 3", "None")</f>
        <v>0</v>
      </c>
    </row>
    <row r="530" spans="1:10">
      <c r="A530" t="s">
        <v>1601</v>
      </c>
      <c r="B530" t="s">
        <v>1541</v>
      </c>
      <c r="C530">
        <v>70</v>
      </c>
      <c r="D530">
        <v>56.8</v>
      </c>
      <c r="E530">
        <f>MAX(ROUNDUP(D530, 0), C530)</f>
        <v>0</v>
      </c>
      <c r="F530" s="2">
        <v>7.55</v>
      </c>
      <c r="G530" s="2">
        <f>E530*F530</f>
        <v>0</v>
      </c>
      <c r="H530" s="2">
        <v>528.5</v>
      </c>
      <c r="I530" s="2">
        <f>ROUND(H530-G530, 2)</f>
        <v>0</v>
      </c>
      <c r="J530">
        <f>IF(ABS(I530)&gt;0.01, "Priority 3", "None")</f>
        <v>0</v>
      </c>
    </row>
    <row r="531" spans="1:10">
      <c r="A531" t="s">
        <v>1602</v>
      </c>
      <c r="B531" t="s">
        <v>1541</v>
      </c>
      <c r="C531">
        <v>70</v>
      </c>
      <c r="D531">
        <v>18.7</v>
      </c>
      <c r="E531">
        <f>MAX(ROUNDUP(D531, 0), C531)</f>
        <v>0</v>
      </c>
      <c r="F531" s="2">
        <v>7.55</v>
      </c>
      <c r="G531" s="2">
        <f>E531*F531</f>
        <v>0</v>
      </c>
      <c r="H531" s="2">
        <v>528.5</v>
      </c>
      <c r="I531" s="2">
        <f>ROUND(H531-G531, 2)</f>
        <v>0</v>
      </c>
      <c r="J531">
        <f>IF(ABS(I531)&gt;0.01, "Priority 3", "None")</f>
        <v>0</v>
      </c>
    </row>
    <row r="532" spans="1:10">
      <c r="A532" t="s">
        <v>1603</v>
      </c>
      <c r="B532" t="s">
        <v>1541</v>
      </c>
      <c r="C532">
        <v>28</v>
      </c>
      <c r="D532">
        <v>56.7</v>
      </c>
      <c r="E532">
        <f>MAX(ROUNDUP(D532, 0), C532)</f>
        <v>0</v>
      </c>
      <c r="F532" s="2">
        <v>7.55</v>
      </c>
      <c r="G532" s="2">
        <f>E532*F532</f>
        <v>0</v>
      </c>
      <c r="H532" s="2">
        <v>430.35</v>
      </c>
      <c r="I532" s="2">
        <f>ROUND(H532-G532, 2)</f>
        <v>0</v>
      </c>
      <c r="J532">
        <f>IF(ABS(I532)&gt;0.01, "Priority 3", "None")</f>
        <v>0</v>
      </c>
    </row>
    <row r="533" spans="1:10">
      <c r="A533" t="s">
        <v>1604</v>
      </c>
      <c r="B533" t="s">
        <v>1541</v>
      </c>
      <c r="C533">
        <v>36</v>
      </c>
      <c r="D533">
        <v>50.2</v>
      </c>
      <c r="E533">
        <f>MAX(ROUNDUP(D533, 0), C533)</f>
        <v>0</v>
      </c>
      <c r="F533" s="2">
        <v>7.55</v>
      </c>
      <c r="G533" s="2">
        <f>E533*F533</f>
        <v>0</v>
      </c>
      <c r="H533" s="2">
        <v>385.05</v>
      </c>
      <c r="I533" s="2">
        <f>ROUND(H533-G533, 2)</f>
        <v>0</v>
      </c>
      <c r="J533">
        <f>IF(ABS(I533)&gt;0.01, "Priority 3", "None")</f>
        <v>0</v>
      </c>
    </row>
    <row r="534" spans="1:10">
      <c r="A534" t="s">
        <v>1605</v>
      </c>
      <c r="B534" t="s">
        <v>1541</v>
      </c>
      <c r="C534">
        <v>80</v>
      </c>
      <c r="D534">
        <v>19.3</v>
      </c>
      <c r="E534">
        <f>MAX(ROUNDUP(D534, 0), C534)</f>
        <v>0</v>
      </c>
      <c r="F534" s="2">
        <v>7.55</v>
      </c>
      <c r="G534" s="2">
        <f>E534*F534</f>
        <v>0</v>
      </c>
      <c r="H534" s="2">
        <v>604</v>
      </c>
      <c r="I534" s="2">
        <f>ROUND(H534-G534, 2)</f>
        <v>0</v>
      </c>
      <c r="J534">
        <f>IF(ABS(I534)&gt;0.01, "Priority 3", "None")</f>
        <v>0</v>
      </c>
    </row>
    <row r="535" spans="1:10">
      <c r="A535" t="s">
        <v>1606</v>
      </c>
      <c r="B535" t="s">
        <v>1541</v>
      </c>
      <c r="C535">
        <v>28</v>
      </c>
      <c r="D535">
        <v>50.5</v>
      </c>
      <c r="E535">
        <f>MAX(ROUNDUP(D535, 0), C535)</f>
        <v>0</v>
      </c>
      <c r="F535" s="2">
        <v>7.55</v>
      </c>
      <c r="G535" s="2">
        <f>E535*F535</f>
        <v>0</v>
      </c>
      <c r="H535" s="2">
        <v>385.05</v>
      </c>
      <c r="I535" s="2">
        <f>ROUND(H535-G535, 2)</f>
        <v>0</v>
      </c>
      <c r="J535">
        <f>IF(ABS(I535)&gt;0.01, "Priority 3", "None")</f>
        <v>0</v>
      </c>
    </row>
    <row r="536" spans="1:10">
      <c r="A536" t="s">
        <v>1607</v>
      </c>
      <c r="B536" t="s">
        <v>1541</v>
      </c>
      <c r="C536">
        <v>40</v>
      </c>
      <c r="D536">
        <v>31.6</v>
      </c>
      <c r="E536">
        <f>MAX(ROUNDUP(D536, 0), C536)</f>
        <v>0</v>
      </c>
      <c r="F536" s="2">
        <v>7.55</v>
      </c>
      <c r="G536" s="2">
        <f>E536*F536</f>
        <v>0</v>
      </c>
      <c r="H536" s="2">
        <v>302</v>
      </c>
      <c r="I536" s="2">
        <f>ROUND(H536-G536, 2)</f>
        <v>0</v>
      </c>
      <c r="J536">
        <f>IF(ABS(I536)&gt;0.01, "Priority 3", "None")</f>
        <v>0</v>
      </c>
    </row>
    <row r="537" spans="1:10">
      <c r="A537" t="s">
        <v>1608</v>
      </c>
      <c r="B537" t="s">
        <v>1541</v>
      </c>
      <c r="C537">
        <v>50</v>
      </c>
      <c r="D537">
        <v>60</v>
      </c>
      <c r="E537">
        <f>MAX(ROUNDUP(D537, 0), C537)</f>
        <v>0</v>
      </c>
      <c r="F537" s="2">
        <v>7.55</v>
      </c>
      <c r="G537" s="2">
        <f>E537*F537</f>
        <v>0</v>
      </c>
      <c r="H537" s="2">
        <v>453</v>
      </c>
      <c r="I537" s="2">
        <f>ROUND(H537-G537, 2)</f>
        <v>0</v>
      </c>
      <c r="J537">
        <f>IF(ABS(I537)&gt;0.01, "Priority 3", "None")</f>
        <v>0</v>
      </c>
    </row>
    <row r="538" spans="1:10">
      <c r="A538" t="s">
        <v>1609</v>
      </c>
      <c r="B538" t="s">
        <v>1541</v>
      </c>
      <c r="C538">
        <v>70</v>
      </c>
      <c r="D538">
        <v>31.8</v>
      </c>
      <c r="E538">
        <f>MAX(ROUNDUP(D538, 0), C538)</f>
        <v>0</v>
      </c>
      <c r="F538" s="2">
        <v>7.55</v>
      </c>
      <c r="G538" s="2">
        <f>E538*F538</f>
        <v>0</v>
      </c>
      <c r="H538" s="2">
        <v>528.5</v>
      </c>
      <c r="I538" s="2">
        <f>ROUND(H538-G538, 2)</f>
        <v>0</v>
      </c>
      <c r="J538">
        <f>IF(ABS(I538)&gt;0.01, "Priority 3", "None")</f>
        <v>0</v>
      </c>
    </row>
    <row r="539" spans="1:10">
      <c r="A539" t="s">
        <v>1610</v>
      </c>
      <c r="B539" t="s">
        <v>1541</v>
      </c>
      <c r="C539">
        <v>24</v>
      </c>
      <c r="D539">
        <v>46.9</v>
      </c>
      <c r="E539">
        <f>MAX(ROUNDUP(D539, 0), C539)</f>
        <v>0</v>
      </c>
      <c r="F539" s="2">
        <v>7.55</v>
      </c>
      <c r="G539" s="2">
        <f>E539*F539</f>
        <v>0</v>
      </c>
      <c r="H539" s="2">
        <v>354.85</v>
      </c>
      <c r="I539" s="2">
        <f>ROUND(H539-G539, 2)</f>
        <v>0</v>
      </c>
      <c r="J539">
        <f>IF(ABS(I539)&gt;0.01, "Priority 3", "None")</f>
        <v>0</v>
      </c>
    </row>
    <row r="540" spans="1:10">
      <c r="A540" t="s">
        <v>1611</v>
      </c>
      <c r="B540" t="s">
        <v>1541</v>
      </c>
      <c r="C540">
        <v>40</v>
      </c>
      <c r="D540">
        <v>29.4</v>
      </c>
      <c r="E540">
        <f>MAX(ROUNDUP(D540, 0), C540)</f>
        <v>0</v>
      </c>
      <c r="F540" s="2">
        <v>7.55</v>
      </c>
      <c r="G540" s="2">
        <f>E540*F540</f>
        <v>0</v>
      </c>
      <c r="H540" s="2">
        <v>302</v>
      </c>
      <c r="I540" s="2">
        <f>ROUND(H540-G540, 2)</f>
        <v>0</v>
      </c>
      <c r="J540">
        <f>IF(ABS(I540)&gt;0.01, "Priority 3", "None")</f>
        <v>0</v>
      </c>
    </row>
    <row r="541" spans="1:10">
      <c r="A541" t="s">
        <v>1612</v>
      </c>
      <c r="B541" t="s">
        <v>1541</v>
      </c>
      <c r="C541">
        <v>45</v>
      </c>
      <c r="D541">
        <v>31.1</v>
      </c>
      <c r="E541">
        <f>MAX(ROUNDUP(D541, 0), C541)</f>
        <v>0</v>
      </c>
      <c r="F541" s="2">
        <v>7.55</v>
      </c>
      <c r="G541" s="2">
        <f>E541*F541</f>
        <v>0</v>
      </c>
      <c r="H541" s="2">
        <v>339.75</v>
      </c>
      <c r="I541" s="2">
        <f>ROUND(H541-G541, 2)</f>
        <v>0</v>
      </c>
      <c r="J541">
        <f>IF(ABS(I541)&gt;0.01, "Priority 3", "None")</f>
        <v>0</v>
      </c>
    </row>
    <row r="542" spans="1:10">
      <c r="A542" t="s">
        <v>1613</v>
      </c>
      <c r="B542" t="s">
        <v>1541</v>
      </c>
      <c r="C542">
        <v>28</v>
      </c>
      <c r="D542">
        <v>59.4</v>
      </c>
      <c r="E542">
        <f>MAX(ROUNDUP(D542, 0), C542)</f>
        <v>0</v>
      </c>
      <c r="F542" s="2">
        <v>7.55</v>
      </c>
      <c r="G542" s="2">
        <f>E542*F542</f>
        <v>0</v>
      </c>
      <c r="H542" s="2">
        <v>453</v>
      </c>
      <c r="I542" s="2">
        <f>ROUND(H542-G542, 2)</f>
        <v>0</v>
      </c>
      <c r="J542">
        <f>IF(ABS(I542)&gt;0.01, "Priority 3", "None")</f>
        <v>0</v>
      </c>
    </row>
    <row r="543" spans="1:10">
      <c r="A543" t="s">
        <v>1614</v>
      </c>
      <c r="B543" t="s">
        <v>1541</v>
      </c>
      <c r="C543">
        <v>70</v>
      </c>
      <c r="D543">
        <v>51.6</v>
      </c>
      <c r="E543">
        <f>MAX(ROUNDUP(D543, 0), C543)</f>
        <v>0</v>
      </c>
      <c r="F543" s="2">
        <v>7.55</v>
      </c>
      <c r="G543" s="2">
        <f>E543*F543</f>
        <v>0</v>
      </c>
      <c r="H543" s="2">
        <v>528.5</v>
      </c>
      <c r="I543" s="2">
        <f>ROUND(H543-G543, 2)</f>
        <v>0</v>
      </c>
      <c r="J543">
        <f>IF(ABS(I543)&gt;0.01, "Priority 3", "None")</f>
        <v>0</v>
      </c>
    </row>
    <row r="544" spans="1:10">
      <c r="A544" t="s">
        <v>1615</v>
      </c>
      <c r="B544" t="s">
        <v>1541</v>
      </c>
      <c r="C544">
        <v>32</v>
      </c>
      <c r="D544">
        <v>44.8</v>
      </c>
      <c r="E544">
        <f>MAX(ROUNDUP(D544, 0), C544)</f>
        <v>0</v>
      </c>
      <c r="F544" s="2">
        <v>7.55</v>
      </c>
      <c r="G544" s="2">
        <f>E544*F544</f>
        <v>0</v>
      </c>
      <c r="H544" s="2">
        <v>339.75</v>
      </c>
      <c r="I544" s="2">
        <f>ROUND(H544-G544, 2)</f>
        <v>0</v>
      </c>
      <c r="J544">
        <f>IF(ABS(I544)&gt;0.01, "Priority 3", "None")</f>
        <v>0</v>
      </c>
    </row>
    <row r="545" spans="1:10">
      <c r="A545" t="s">
        <v>1616</v>
      </c>
      <c r="B545" t="s">
        <v>1541</v>
      </c>
      <c r="C545">
        <v>70</v>
      </c>
      <c r="D545">
        <v>26.8</v>
      </c>
      <c r="E545">
        <f>MAX(ROUNDUP(D545, 0), C545)</f>
        <v>0</v>
      </c>
      <c r="F545" s="2">
        <v>7.55</v>
      </c>
      <c r="G545" s="2">
        <f>E545*F545</f>
        <v>0</v>
      </c>
      <c r="H545" s="2">
        <v>528.5</v>
      </c>
      <c r="I545" s="2">
        <f>ROUND(H545-G545, 2)</f>
        <v>0</v>
      </c>
      <c r="J545">
        <f>IF(ABS(I545)&gt;0.01, "Priority 3", "None")</f>
        <v>0</v>
      </c>
    </row>
    <row r="546" spans="1:10">
      <c r="A546" t="s">
        <v>1617</v>
      </c>
      <c r="B546" t="s">
        <v>1541</v>
      </c>
      <c r="C546">
        <v>70</v>
      </c>
      <c r="D546">
        <v>42.5</v>
      </c>
      <c r="E546">
        <f>MAX(ROUNDUP(D546, 0), C546)</f>
        <v>0</v>
      </c>
      <c r="F546" s="2">
        <v>7.55</v>
      </c>
      <c r="G546" s="2">
        <f>E546*F546</f>
        <v>0</v>
      </c>
      <c r="H546" s="2">
        <v>528.5</v>
      </c>
      <c r="I546" s="2">
        <f>ROUND(H546-G546, 2)</f>
        <v>0</v>
      </c>
      <c r="J546">
        <f>IF(ABS(I546)&gt;0.01, "Priority 3", "None")</f>
        <v>0</v>
      </c>
    </row>
    <row r="547" spans="1:10">
      <c r="A547" t="s">
        <v>1618</v>
      </c>
      <c r="B547" t="s">
        <v>1541</v>
      </c>
      <c r="C547">
        <v>70</v>
      </c>
      <c r="D547">
        <v>58.8</v>
      </c>
      <c r="E547">
        <f>MAX(ROUNDUP(D547, 0), C547)</f>
        <v>0</v>
      </c>
      <c r="F547" s="2">
        <v>7.55</v>
      </c>
      <c r="G547" s="2">
        <f>E547*F547</f>
        <v>0</v>
      </c>
      <c r="H547" s="2">
        <v>528.5</v>
      </c>
      <c r="I547" s="2">
        <f>ROUND(H547-G547, 2)</f>
        <v>0</v>
      </c>
      <c r="J547">
        <f>IF(ABS(I547)&gt;0.01, "Priority 3", "None")</f>
        <v>0</v>
      </c>
    </row>
    <row r="548" spans="1:10">
      <c r="A548" t="s">
        <v>1619</v>
      </c>
      <c r="B548" t="s">
        <v>1541</v>
      </c>
      <c r="C548">
        <v>40</v>
      </c>
      <c r="D548">
        <v>20.6</v>
      </c>
      <c r="E548">
        <f>MAX(ROUNDUP(D548, 0), C548)</f>
        <v>0</v>
      </c>
      <c r="F548" s="2">
        <v>7.55</v>
      </c>
      <c r="G548" s="2">
        <f>E548*F548</f>
        <v>0</v>
      </c>
      <c r="H548" s="2">
        <v>302</v>
      </c>
      <c r="I548" s="2">
        <f>ROUND(H548-G548, 2)</f>
        <v>0</v>
      </c>
      <c r="J548">
        <f>IF(ABS(I548)&gt;0.01, "Priority 3", "None")</f>
        <v>0</v>
      </c>
    </row>
    <row r="549" spans="1:10">
      <c r="A549" t="s">
        <v>1620</v>
      </c>
      <c r="B549" t="s">
        <v>1541</v>
      </c>
      <c r="C549">
        <v>24</v>
      </c>
      <c r="D549">
        <v>42.4</v>
      </c>
      <c r="E549">
        <f>MAX(ROUNDUP(D549, 0), C549)</f>
        <v>0</v>
      </c>
      <c r="F549" s="2">
        <v>7.55</v>
      </c>
      <c r="G549" s="2">
        <f>E549*F549</f>
        <v>0</v>
      </c>
      <c r="H549" s="2">
        <v>324.65</v>
      </c>
      <c r="I549" s="2">
        <f>ROUND(H549-G549, 2)</f>
        <v>0</v>
      </c>
      <c r="J549">
        <f>IF(ABS(I549)&gt;0.01, "Priority 3", "None")</f>
        <v>0</v>
      </c>
    </row>
    <row r="550" spans="1:10">
      <c r="A550" t="s">
        <v>1621</v>
      </c>
      <c r="B550" t="s">
        <v>1541</v>
      </c>
      <c r="C550">
        <v>24</v>
      </c>
      <c r="D550">
        <v>33.7</v>
      </c>
      <c r="E550">
        <f>MAX(ROUNDUP(D550, 0), C550)</f>
        <v>0</v>
      </c>
      <c r="F550" s="2">
        <v>7.55</v>
      </c>
      <c r="G550" s="2">
        <f>E550*F550</f>
        <v>0</v>
      </c>
      <c r="H550" s="2">
        <v>256.7</v>
      </c>
      <c r="I550" s="2">
        <f>ROUND(H550-G550, 2)</f>
        <v>0</v>
      </c>
      <c r="J550">
        <f>IF(ABS(I550)&gt;0.01, "Priority 3", "None")</f>
        <v>0</v>
      </c>
    </row>
    <row r="551" spans="1:10">
      <c r="A551" t="s">
        <v>1622</v>
      </c>
      <c r="B551" t="s">
        <v>1541</v>
      </c>
      <c r="C551">
        <v>28</v>
      </c>
      <c r="D551">
        <v>56.9</v>
      </c>
      <c r="E551">
        <f>MAX(ROUNDUP(D551, 0), C551)</f>
        <v>0</v>
      </c>
      <c r="F551" s="2">
        <v>7.55</v>
      </c>
      <c r="G551" s="2">
        <f>E551*F551</f>
        <v>0</v>
      </c>
      <c r="H551" s="2">
        <v>430.35</v>
      </c>
      <c r="I551" s="2">
        <f>ROUND(H551-G551, 2)</f>
        <v>0</v>
      </c>
      <c r="J551">
        <f>IF(ABS(I551)&gt;0.01, "Priority 3", "None")</f>
        <v>0</v>
      </c>
    </row>
    <row r="552" spans="1:10">
      <c r="A552" t="s">
        <v>1623</v>
      </c>
      <c r="B552" t="s">
        <v>1541</v>
      </c>
      <c r="C552">
        <v>24</v>
      </c>
      <c r="D552">
        <v>58</v>
      </c>
      <c r="E552">
        <f>MAX(ROUNDUP(D552, 0), C552)</f>
        <v>0</v>
      </c>
      <c r="F552" s="2">
        <v>7.55</v>
      </c>
      <c r="G552" s="2">
        <f>E552*F552</f>
        <v>0</v>
      </c>
      <c r="H552" s="2">
        <v>437.9</v>
      </c>
      <c r="I552" s="2">
        <f>ROUND(H552-G552, 2)</f>
        <v>0</v>
      </c>
      <c r="J552">
        <f>IF(ABS(I552)&gt;0.01, "Priority 3", "None")</f>
        <v>0</v>
      </c>
    </row>
    <row r="553" spans="1:10">
      <c r="A553" t="s">
        <v>1624</v>
      </c>
      <c r="B553" t="s">
        <v>1541</v>
      </c>
      <c r="C553">
        <v>45</v>
      </c>
      <c r="D553">
        <v>36.5</v>
      </c>
      <c r="E553">
        <f>MAX(ROUNDUP(D553, 0), C553)</f>
        <v>0</v>
      </c>
      <c r="F553" s="2">
        <v>7.55</v>
      </c>
      <c r="G553" s="2">
        <f>E553*F553</f>
        <v>0</v>
      </c>
      <c r="H553" s="2">
        <v>339.75</v>
      </c>
      <c r="I553" s="2">
        <f>ROUND(H553-G553, 2)</f>
        <v>0</v>
      </c>
      <c r="J553">
        <f>IF(ABS(I553)&gt;0.01, "Priority 3", "None")</f>
        <v>0</v>
      </c>
    </row>
    <row r="554" spans="1:10">
      <c r="A554" t="s">
        <v>1625</v>
      </c>
      <c r="B554" t="s">
        <v>1541</v>
      </c>
      <c r="C554">
        <v>32</v>
      </c>
      <c r="D554">
        <v>21.8</v>
      </c>
      <c r="E554">
        <f>MAX(ROUNDUP(D554, 0), C554)</f>
        <v>0</v>
      </c>
      <c r="F554" s="2">
        <v>7.55</v>
      </c>
      <c r="G554" s="2">
        <f>E554*F554</f>
        <v>0</v>
      </c>
      <c r="H554" s="2">
        <v>241.6</v>
      </c>
      <c r="I554" s="2">
        <f>ROUND(H554-G554, 2)</f>
        <v>0</v>
      </c>
      <c r="J554">
        <f>IF(ABS(I554)&gt;0.01, "Priority 3", "None")</f>
        <v>0</v>
      </c>
    </row>
    <row r="555" spans="1:10">
      <c r="A555" t="s">
        <v>1626</v>
      </c>
      <c r="B555" t="s">
        <v>1541</v>
      </c>
      <c r="C555">
        <v>36</v>
      </c>
      <c r="D555">
        <v>26.2</v>
      </c>
      <c r="E555">
        <f>MAX(ROUNDUP(D555, 0), C555)</f>
        <v>0</v>
      </c>
      <c r="F555" s="2">
        <v>7.55</v>
      </c>
      <c r="G555" s="2">
        <f>E555*F555</f>
        <v>0</v>
      </c>
      <c r="H555" s="2">
        <v>271.8</v>
      </c>
      <c r="I555" s="2">
        <f>ROUND(H555-G555, 2)</f>
        <v>0</v>
      </c>
      <c r="J555">
        <f>IF(ABS(I555)&gt;0.01, "Priority 3", "None")</f>
        <v>0</v>
      </c>
    </row>
    <row r="556" spans="1:10">
      <c r="A556" t="s">
        <v>1627</v>
      </c>
      <c r="B556" t="s">
        <v>1541</v>
      </c>
      <c r="C556">
        <v>70</v>
      </c>
      <c r="D556">
        <v>37.2</v>
      </c>
      <c r="E556">
        <f>MAX(ROUNDUP(D556, 0), C556)</f>
        <v>0</v>
      </c>
      <c r="F556" s="2">
        <v>7.55</v>
      </c>
      <c r="G556" s="2">
        <f>E556*F556</f>
        <v>0</v>
      </c>
      <c r="H556" s="2">
        <v>528.5</v>
      </c>
      <c r="I556" s="2">
        <f>ROUND(H556-G556, 2)</f>
        <v>0</v>
      </c>
      <c r="J556">
        <f>IF(ABS(I556)&gt;0.01, "Priority 3", "None")</f>
        <v>0</v>
      </c>
    </row>
    <row r="557" spans="1:10">
      <c r="A557" t="s">
        <v>1628</v>
      </c>
      <c r="B557" t="s">
        <v>1541</v>
      </c>
      <c r="C557">
        <v>45</v>
      </c>
      <c r="D557">
        <v>51.9</v>
      </c>
      <c r="E557">
        <f>MAX(ROUNDUP(D557, 0), C557)</f>
        <v>0</v>
      </c>
      <c r="F557" s="2">
        <v>7.55</v>
      </c>
      <c r="G557" s="2">
        <f>E557*F557</f>
        <v>0</v>
      </c>
      <c r="H557" s="2">
        <v>392.6</v>
      </c>
      <c r="I557" s="2">
        <f>ROUND(H557-G557, 2)</f>
        <v>0</v>
      </c>
      <c r="J557">
        <f>IF(ABS(I557)&gt;0.01, "Priority 3", "None")</f>
        <v>0</v>
      </c>
    </row>
    <row r="558" spans="1:10">
      <c r="A558" t="s">
        <v>1629</v>
      </c>
      <c r="B558" t="s">
        <v>1541</v>
      </c>
      <c r="C558">
        <v>32</v>
      </c>
      <c r="D558">
        <v>46.4</v>
      </c>
      <c r="E558">
        <f>MAX(ROUNDUP(D558, 0), C558)</f>
        <v>0</v>
      </c>
      <c r="F558" s="2">
        <v>7.55</v>
      </c>
      <c r="G558" s="2">
        <f>E558*F558</f>
        <v>0</v>
      </c>
      <c r="H558" s="2">
        <v>354.85</v>
      </c>
      <c r="I558" s="2">
        <f>ROUND(H558-G558, 2)</f>
        <v>0</v>
      </c>
      <c r="J558">
        <f>IF(ABS(I558)&gt;0.01, "Priority 3", "None")</f>
        <v>0</v>
      </c>
    </row>
    <row r="559" spans="1:10">
      <c r="A559" t="s">
        <v>1630</v>
      </c>
      <c r="B559" t="s">
        <v>1541</v>
      </c>
      <c r="C559">
        <v>36</v>
      </c>
      <c r="D559">
        <v>58.9</v>
      </c>
      <c r="E559">
        <f>MAX(ROUNDUP(D559, 0), C559)</f>
        <v>0</v>
      </c>
      <c r="F559" s="2">
        <v>7.55</v>
      </c>
      <c r="G559" s="2">
        <f>E559*F559</f>
        <v>0</v>
      </c>
      <c r="H559" s="2">
        <v>445.45</v>
      </c>
      <c r="I559" s="2">
        <f>ROUND(H559-G559, 2)</f>
        <v>0</v>
      </c>
      <c r="J559">
        <f>IF(ABS(I559)&gt;0.01, "Priority 3", "None")</f>
        <v>0</v>
      </c>
    </row>
    <row r="560" spans="1:10">
      <c r="A560" t="s">
        <v>1631</v>
      </c>
      <c r="B560" t="s">
        <v>1541</v>
      </c>
      <c r="C560">
        <v>28</v>
      </c>
      <c r="D560">
        <v>54.2</v>
      </c>
      <c r="E560">
        <f>MAX(ROUNDUP(D560, 0), C560)</f>
        <v>0</v>
      </c>
      <c r="F560" s="2">
        <v>7.55</v>
      </c>
      <c r="G560" s="2">
        <f>E560*F560</f>
        <v>0</v>
      </c>
      <c r="H560" s="2">
        <v>415.25</v>
      </c>
      <c r="I560" s="2">
        <f>ROUND(H560-G560, 2)</f>
        <v>0</v>
      </c>
      <c r="J560">
        <f>IF(ABS(I560)&gt;0.01, "Priority 3", "None")</f>
        <v>0</v>
      </c>
    </row>
    <row r="561" spans="1:10">
      <c r="A561" t="s">
        <v>1632</v>
      </c>
      <c r="B561" t="s">
        <v>1541</v>
      </c>
      <c r="C561">
        <v>32</v>
      </c>
      <c r="D561">
        <v>26.2</v>
      </c>
      <c r="E561">
        <f>MAX(ROUNDUP(D561, 0), C561)</f>
        <v>0</v>
      </c>
      <c r="F561" s="2">
        <v>7.55</v>
      </c>
      <c r="G561" s="2">
        <f>E561*F561</f>
        <v>0</v>
      </c>
      <c r="H561" s="2">
        <v>241.6</v>
      </c>
      <c r="I561" s="2">
        <f>ROUND(H561-G561, 2)</f>
        <v>0</v>
      </c>
      <c r="J561">
        <f>IF(ABS(I561)&gt;0.01, "Priority 3", "None")</f>
        <v>0</v>
      </c>
    </row>
    <row r="562" spans="1:10">
      <c r="A562" t="s">
        <v>1633</v>
      </c>
      <c r="B562" t="s">
        <v>1541</v>
      </c>
      <c r="C562">
        <v>60</v>
      </c>
      <c r="D562">
        <v>37.4</v>
      </c>
      <c r="E562">
        <f>MAX(ROUNDUP(D562, 0), C562)</f>
        <v>0</v>
      </c>
      <c r="F562" s="2">
        <v>7.55</v>
      </c>
      <c r="G562" s="2">
        <f>E562*F562</f>
        <v>0</v>
      </c>
      <c r="H562" s="2">
        <v>453</v>
      </c>
      <c r="I562" s="2">
        <f>ROUND(H562-G562, 2)</f>
        <v>0</v>
      </c>
      <c r="J562">
        <f>IF(ABS(I562)&gt;0.01, "Priority 3", "None")</f>
        <v>0</v>
      </c>
    </row>
    <row r="563" spans="1:10">
      <c r="A563" t="s">
        <v>1634</v>
      </c>
      <c r="B563" t="s">
        <v>1541</v>
      </c>
      <c r="C563">
        <v>70</v>
      </c>
      <c r="D563">
        <v>55.2</v>
      </c>
      <c r="E563">
        <f>MAX(ROUNDUP(D563, 0), C563)</f>
        <v>0</v>
      </c>
      <c r="F563" s="2">
        <v>7.55</v>
      </c>
      <c r="G563" s="2">
        <f>E563*F563</f>
        <v>0</v>
      </c>
      <c r="H563" s="2">
        <v>528.5</v>
      </c>
      <c r="I563" s="2">
        <f>ROUND(H563-G563, 2)</f>
        <v>0</v>
      </c>
      <c r="J563">
        <f>IF(ABS(I563)&gt;0.01, "Priority 3", "None")</f>
        <v>0</v>
      </c>
    </row>
    <row r="564" spans="1:10">
      <c r="A564" t="s">
        <v>1635</v>
      </c>
      <c r="B564" t="s">
        <v>1541</v>
      </c>
      <c r="C564">
        <v>36</v>
      </c>
      <c r="D564">
        <v>59.7</v>
      </c>
      <c r="E564">
        <f>MAX(ROUNDUP(D564, 0), C564)</f>
        <v>0</v>
      </c>
      <c r="F564" s="2">
        <v>7.55</v>
      </c>
      <c r="G564" s="2">
        <f>E564*F564</f>
        <v>0</v>
      </c>
      <c r="H564" s="2">
        <v>453</v>
      </c>
      <c r="I564" s="2">
        <f>ROUND(H564-G564, 2)</f>
        <v>0</v>
      </c>
      <c r="J564">
        <f>IF(ABS(I564)&gt;0.01, "Priority 3", "None")</f>
        <v>0</v>
      </c>
    </row>
    <row r="565" spans="1:10">
      <c r="A565" t="s">
        <v>1636</v>
      </c>
      <c r="B565" t="s">
        <v>1541</v>
      </c>
      <c r="C565">
        <v>28</v>
      </c>
      <c r="D565">
        <v>52.5</v>
      </c>
      <c r="E565">
        <f>MAX(ROUNDUP(D565, 0), C565)</f>
        <v>0</v>
      </c>
      <c r="F565" s="2">
        <v>7.55</v>
      </c>
      <c r="G565" s="2">
        <f>E565*F565</f>
        <v>0</v>
      </c>
      <c r="H565" s="2">
        <v>400.15</v>
      </c>
      <c r="I565" s="2">
        <f>ROUND(H565-G565, 2)</f>
        <v>0</v>
      </c>
      <c r="J565">
        <f>IF(ABS(I565)&gt;0.01, "Priority 3", "None")</f>
        <v>0</v>
      </c>
    </row>
    <row r="566" spans="1:10">
      <c r="A566" t="s">
        <v>1637</v>
      </c>
      <c r="B566" t="s">
        <v>1541</v>
      </c>
      <c r="C566">
        <v>28</v>
      </c>
      <c r="D566">
        <v>35.3</v>
      </c>
      <c r="E566">
        <f>MAX(ROUNDUP(D566, 0), C566)</f>
        <v>0</v>
      </c>
      <c r="F566" s="2">
        <v>7.55</v>
      </c>
      <c r="G566" s="2">
        <f>E566*F566</f>
        <v>0</v>
      </c>
      <c r="H566" s="2">
        <v>271.8</v>
      </c>
      <c r="I566" s="2">
        <f>ROUND(H566-G566, 2)</f>
        <v>0</v>
      </c>
      <c r="J566">
        <f>IF(ABS(I566)&gt;0.01, "Priority 3", "None")</f>
        <v>0</v>
      </c>
    </row>
    <row r="567" spans="1:10">
      <c r="A567" t="s">
        <v>1638</v>
      </c>
      <c r="B567" t="s">
        <v>1541</v>
      </c>
      <c r="C567">
        <v>60</v>
      </c>
      <c r="D567">
        <v>43.8</v>
      </c>
      <c r="E567">
        <f>MAX(ROUNDUP(D567, 0), C567)</f>
        <v>0</v>
      </c>
      <c r="F567" s="2">
        <v>7.55</v>
      </c>
      <c r="G567" s="2">
        <f>E567*F567</f>
        <v>0</v>
      </c>
      <c r="H567" s="2">
        <v>453</v>
      </c>
      <c r="I567" s="2">
        <f>ROUND(H567-G567, 2)</f>
        <v>0</v>
      </c>
      <c r="J567">
        <f>IF(ABS(I567)&gt;0.01, "Priority 3", "None")</f>
        <v>0</v>
      </c>
    </row>
    <row r="568" spans="1:10">
      <c r="A568" t="s">
        <v>1639</v>
      </c>
      <c r="B568" t="s">
        <v>1541</v>
      </c>
      <c r="C568">
        <v>24</v>
      </c>
      <c r="D568">
        <v>40.1</v>
      </c>
      <c r="E568">
        <f>MAX(ROUNDUP(D568, 0), C568)</f>
        <v>0</v>
      </c>
      <c r="F568" s="2">
        <v>7.55</v>
      </c>
      <c r="G568" s="2">
        <f>E568*F568</f>
        <v>0</v>
      </c>
      <c r="H568" s="2">
        <v>309.55</v>
      </c>
      <c r="I568" s="2">
        <f>ROUND(H568-G568, 2)</f>
        <v>0</v>
      </c>
      <c r="J568">
        <f>IF(ABS(I568)&gt;0.01, "Priority 3", "None")</f>
        <v>0</v>
      </c>
    </row>
    <row r="569" spans="1:10">
      <c r="A569" t="s">
        <v>1640</v>
      </c>
      <c r="B569" t="s">
        <v>1541</v>
      </c>
      <c r="C569">
        <v>24</v>
      </c>
      <c r="D569">
        <v>50.2</v>
      </c>
      <c r="E569">
        <f>MAX(ROUNDUP(D569, 0), C569)</f>
        <v>0</v>
      </c>
      <c r="F569" s="2">
        <v>7.55</v>
      </c>
      <c r="G569" s="2">
        <f>E569*F569</f>
        <v>0</v>
      </c>
      <c r="H569" s="2">
        <v>385.05</v>
      </c>
      <c r="I569" s="2">
        <f>ROUND(H569-G569, 2)</f>
        <v>0</v>
      </c>
      <c r="J569">
        <f>IF(ABS(I569)&gt;0.01, "Priority 3", "None")</f>
        <v>0</v>
      </c>
    </row>
    <row r="570" spans="1:10">
      <c r="A570" t="s">
        <v>1641</v>
      </c>
      <c r="B570" t="s">
        <v>1541</v>
      </c>
      <c r="C570">
        <v>24</v>
      </c>
      <c r="D570">
        <v>61</v>
      </c>
      <c r="E570">
        <f>MAX(ROUNDUP(D570, 0), C570)</f>
        <v>0</v>
      </c>
      <c r="F570" s="2">
        <v>7.55</v>
      </c>
      <c r="G570" s="2">
        <f>E570*F570</f>
        <v>0</v>
      </c>
      <c r="H570" s="2">
        <v>460.55</v>
      </c>
      <c r="I570" s="2">
        <f>ROUND(H570-G570, 2)</f>
        <v>0</v>
      </c>
      <c r="J570">
        <f>IF(ABS(I570)&gt;0.01, "Priority 3", "None")</f>
        <v>0</v>
      </c>
    </row>
    <row r="571" spans="1:10">
      <c r="A571" t="s">
        <v>1642</v>
      </c>
      <c r="B571" t="s">
        <v>1541</v>
      </c>
      <c r="C571">
        <v>40</v>
      </c>
      <c r="D571">
        <v>30.5</v>
      </c>
      <c r="E571">
        <f>MAX(ROUNDUP(D571, 0), C571)</f>
        <v>0</v>
      </c>
      <c r="F571" s="2">
        <v>7.55</v>
      </c>
      <c r="G571" s="2">
        <f>E571*F571</f>
        <v>0</v>
      </c>
      <c r="H571" s="2">
        <v>302</v>
      </c>
      <c r="I571" s="2">
        <f>ROUND(H571-G571, 2)</f>
        <v>0</v>
      </c>
      <c r="J571">
        <f>IF(ABS(I571)&gt;0.01, "Priority 3", "None")</f>
        <v>0</v>
      </c>
    </row>
    <row r="572" spans="1:10">
      <c r="A572" t="s">
        <v>1643</v>
      </c>
      <c r="B572" t="s">
        <v>1541</v>
      </c>
      <c r="C572">
        <v>24</v>
      </c>
      <c r="D572">
        <v>38.6</v>
      </c>
      <c r="E572">
        <f>MAX(ROUNDUP(D572, 0), C572)</f>
        <v>0</v>
      </c>
      <c r="F572" s="2">
        <v>7.55</v>
      </c>
      <c r="G572" s="2">
        <f>E572*F572</f>
        <v>0</v>
      </c>
      <c r="H572" s="2">
        <v>294.45</v>
      </c>
      <c r="I572" s="2">
        <f>ROUND(H572-G572, 2)</f>
        <v>0</v>
      </c>
      <c r="J572">
        <f>IF(ABS(I572)&gt;0.01, "Priority 3", "None")</f>
        <v>0</v>
      </c>
    </row>
    <row r="573" spans="1:10">
      <c r="A573" t="s">
        <v>1644</v>
      </c>
      <c r="B573" t="s">
        <v>1541</v>
      </c>
      <c r="C573">
        <v>50</v>
      </c>
      <c r="D573">
        <v>36.8</v>
      </c>
      <c r="E573">
        <f>MAX(ROUNDUP(D573, 0), C573)</f>
        <v>0</v>
      </c>
      <c r="F573" s="2">
        <v>7.55</v>
      </c>
      <c r="G573" s="2">
        <f>E573*F573</f>
        <v>0</v>
      </c>
      <c r="H573" s="2">
        <v>377.5</v>
      </c>
      <c r="I573" s="2">
        <f>ROUND(H573-G573, 2)</f>
        <v>0</v>
      </c>
      <c r="J573">
        <f>IF(ABS(I573)&gt;0.01, "Priority 3", "None")</f>
        <v>0</v>
      </c>
    </row>
    <row r="574" spans="1:10">
      <c r="A574" t="s">
        <v>1645</v>
      </c>
      <c r="B574" t="s">
        <v>1541</v>
      </c>
      <c r="C574">
        <v>32</v>
      </c>
      <c r="D574">
        <v>53.2</v>
      </c>
      <c r="E574">
        <f>MAX(ROUNDUP(D574, 0), C574)</f>
        <v>0</v>
      </c>
      <c r="F574" s="2">
        <v>7.55</v>
      </c>
      <c r="G574" s="2">
        <f>E574*F574</f>
        <v>0</v>
      </c>
      <c r="H574" s="2">
        <v>407.7</v>
      </c>
      <c r="I574" s="2">
        <f>ROUND(H574-G574, 2)</f>
        <v>0</v>
      </c>
      <c r="J574">
        <f>IF(ABS(I574)&gt;0.01, "Priority 3", "None")</f>
        <v>0</v>
      </c>
    </row>
    <row r="575" spans="1:10">
      <c r="A575" t="s">
        <v>1646</v>
      </c>
      <c r="B575" t="s">
        <v>1541</v>
      </c>
      <c r="C575">
        <v>24</v>
      </c>
      <c r="D575">
        <v>26.9</v>
      </c>
      <c r="E575">
        <f>MAX(ROUNDUP(D575, 0), C575)</f>
        <v>0</v>
      </c>
      <c r="F575" s="2">
        <v>7.55</v>
      </c>
      <c r="G575" s="2">
        <f>E575*F575</f>
        <v>0</v>
      </c>
      <c r="H575" s="2">
        <v>203.85</v>
      </c>
      <c r="I575" s="2">
        <f>ROUND(H575-G575, 2)</f>
        <v>0</v>
      </c>
      <c r="J575">
        <f>IF(ABS(I575)&gt;0.01, "Priority 3", "None")</f>
        <v>0</v>
      </c>
    </row>
    <row r="576" spans="1:10">
      <c r="A576" t="s">
        <v>1647</v>
      </c>
      <c r="B576" t="s">
        <v>1541</v>
      </c>
      <c r="C576">
        <v>50</v>
      </c>
      <c r="D576">
        <v>38.3</v>
      </c>
      <c r="E576">
        <f>MAX(ROUNDUP(D576, 0), C576)</f>
        <v>0</v>
      </c>
      <c r="F576" s="2">
        <v>7.55</v>
      </c>
      <c r="G576" s="2">
        <f>E576*F576</f>
        <v>0</v>
      </c>
      <c r="H576" s="2">
        <v>377.5</v>
      </c>
      <c r="I576" s="2">
        <f>ROUND(H576-G576, 2)</f>
        <v>0</v>
      </c>
      <c r="J576">
        <f>IF(ABS(I576)&gt;0.01, "Priority 3", "None")</f>
        <v>0</v>
      </c>
    </row>
    <row r="577" spans="1:10">
      <c r="A577" t="s">
        <v>1648</v>
      </c>
      <c r="B577" t="s">
        <v>1541</v>
      </c>
      <c r="C577">
        <v>36</v>
      </c>
      <c r="D577">
        <v>26.5</v>
      </c>
      <c r="E577">
        <f>MAX(ROUNDUP(D577, 0), C577)</f>
        <v>0</v>
      </c>
      <c r="F577" s="2">
        <v>7.55</v>
      </c>
      <c r="G577" s="2">
        <f>E577*F577</f>
        <v>0</v>
      </c>
      <c r="H577" s="2">
        <v>271.8</v>
      </c>
      <c r="I577" s="2">
        <f>ROUND(H577-G577, 2)</f>
        <v>0</v>
      </c>
      <c r="J577">
        <f>IF(ABS(I577)&gt;0.01, "Priority 3", "None")</f>
        <v>0</v>
      </c>
    </row>
    <row r="578" spans="1:10">
      <c r="A578" t="s">
        <v>1649</v>
      </c>
      <c r="B578" t="s">
        <v>1541</v>
      </c>
      <c r="C578">
        <v>24</v>
      </c>
      <c r="D578">
        <v>57.9</v>
      </c>
      <c r="E578">
        <f>MAX(ROUNDUP(D578, 0), C578)</f>
        <v>0</v>
      </c>
      <c r="F578" s="2">
        <v>7.55</v>
      </c>
      <c r="G578" s="2">
        <f>E578*F578</f>
        <v>0</v>
      </c>
      <c r="H578" s="2">
        <v>437.9</v>
      </c>
      <c r="I578" s="2">
        <f>ROUND(H578-G578, 2)</f>
        <v>0</v>
      </c>
      <c r="J578">
        <f>IF(ABS(I578)&gt;0.01, "Priority 3", "None")</f>
        <v>0</v>
      </c>
    </row>
    <row r="579" spans="1:10">
      <c r="A579" t="s">
        <v>1650</v>
      </c>
      <c r="B579" t="s">
        <v>1541</v>
      </c>
      <c r="C579">
        <v>32</v>
      </c>
      <c r="D579">
        <v>19.2</v>
      </c>
      <c r="E579">
        <f>MAX(ROUNDUP(D579, 0), C579)</f>
        <v>0</v>
      </c>
      <c r="F579" s="2">
        <v>7.55</v>
      </c>
      <c r="G579" s="2">
        <f>E579*F579</f>
        <v>0</v>
      </c>
      <c r="H579" s="2">
        <v>241.6</v>
      </c>
      <c r="I579" s="2">
        <f>ROUND(H579-G579, 2)</f>
        <v>0</v>
      </c>
      <c r="J579">
        <f>IF(ABS(I579)&gt;0.01, "Priority 3", "None")</f>
        <v>0</v>
      </c>
    </row>
    <row r="580" spans="1:10">
      <c r="A580" t="s">
        <v>1651</v>
      </c>
      <c r="B580" t="s">
        <v>1541</v>
      </c>
      <c r="C580">
        <v>24</v>
      </c>
      <c r="D580">
        <v>22.8</v>
      </c>
      <c r="E580">
        <f>MAX(ROUNDUP(D580, 0), C580)</f>
        <v>0</v>
      </c>
      <c r="F580" s="2">
        <v>7.55</v>
      </c>
      <c r="G580" s="2">
        <f>E580*F580</f>
        <v>0</v>
      </c>
      <c r="H580" s="2">
        <v>181.2</v>
      </c>
      <c r="I580" s="2">
        <f>ROUND(H580-G580, 2)</f>
        <v>0</v>
      </c>
      <c r="J580">
        <f>IF(ABS(I580)&gt;0.01, "Priority 3", "None")</f>
        <v>0</v>
      </c>
    </row>
    <row r="581" spans="1:10">
      <c r="A581" t="s">
        <v>1652</v>
      </c>
      <c r="B581" t="s">
        <v>1541</v>
      </c>
      <c r="C581">
        <v>50</v>
      </c>
      <c r="D581">
        <v>26.9</v>
      </c>
      <c r="E581">
        <f>MAX(ROUNDUP(D581, 0), C581)</f>
        <v>0</v>
      </c>
      <c r="F581" s="2">
        <v>7.55</v>
      </c>
      <c r="G581" s="2">
        <f>E581*F581</f>
        <v>0</v>
      </c>
      <c r="H581" s="2">
        <v>377.5</v>
      </c>
      <c r="I581" s="2">
        <f>ROUND(H581-G581, 2)</f>
        <v>0</v>
      </c>
      <c r="J581">
        <f>IF(ABS(I581)&gt;0.01, "Priority 3", "None")</f>
        <v>0</v>
      </c>
    </row>
    <row r="582" spans="1:10">
      <c r="A582" t="s">
        <v>1653</v>
      </c>
      <c r="B582" t="s">
        <v>1541</v>
      </c>
      <c r="C582">
        <v>24</v>
      </c>
      <c r="D582">
        <v>22</v>
      </c>
      <c r="E582">
        <f>MAX(ROUNDUP(D582, 0), C582)</f>
        <v>0</v>
      </c>
      <c r="F582" s="2">
        <v>7.55</v>
      </c>
      <c r="G582" s="2">
        <f>E582*F582</f>
        <v>0</v>
      </c>
      <c r="H582" s="2">
        <v>181.2</v>
      </c>
      <c r="I582" s="2">
        <f>ROUND(H582-G582, 2)</f>
        <v>0</v>
      </c>
      <c r="J582">
        <f>IF(ABS(I582)&gt;0.01, "Priority 3", "None")</f>
        <v>0</v>
      </c>
    </row>
    <row r="583" spans="1:10">
      <c r="A583" t="s">
        <v>1654</v>
      </c>
      <c r="B583" t="s">
        <v>1541</v>
      </c>
      <c r="C583">
        <v>60</v>
      </c>
      <c r="D583">
        <v>35</v>
      </c>
      <c r="E583">
        <f>MAX(ROUNDUP(D583, 0), C583)</f>
        <v>0</v>
      </c>
      <c r="F583" s="2">
        <v>7.55</v>
      </c>
      <c r="G583" s="2">
        <f>E583*F583</f>
        <v>0</v>
      </c>
      <c r="H583" s="2">
        <v>453</v>
      </c>
      <c r="I583" s="2">
        <f>ROUND(H583-G583, 2)</f>
        <v>0</v>
      </c>
      <c r="J583">
        <f>IF(ABS(I583)&gt;0.01, "Priority 3", "None")</f>
        <v>0</v>
      </c>
    </row>
    <row r="584" spans="1:10">
      <c r="A584" t="s">
        <v>1655</v>
      </c>
      <c r="B584" t="s">
        <v>1541</v>
      </c>
      <c r="C584">
        <v>40</v>
      </c>
      <c r="D584">
        <v>54.9</v>
      </c>
      <c r="E584">
        <f>MAX(ROUNDUP(D584, 0), C584)</f>
        <v>0</v>
      </c>
      <c r="F584" s="2">
        <v>7.55</v>
      </c>
      <c r="G584" s="2">
        <f>E584*F584</f>
        <v>0</v>
      </c>
      <c r="H584" s="2">
        <v>415.25</v>
      </c>
      <c r="I584" s="2">
        <f>ROUND(H584-G584, 2)</f>
        <v>0</v>
      </c>
      <c r="J584">
        <f>IF(ABS(I584)&gt;0.01, "Priority 3", "None")</f>
        <v>0</v>
      </c>
    </row>
    <row r="585" spans="1:10">
      <c r="A585" t="s">
        <v>1656</v>
      </c>
      <c r="B585" t="s">
        <v>1541</v>
      </c>
      <c r="C585">
        <v>45</v>
      </c>
      <c r="D585">
        <v>53.8</v>
      </c>
      <c r="E585">
        <f>MAX(ROUNDUP(D585, 0), C585)</f>
        <v>0</v>
      </c>
      <c r="F585" s="2">
        <v>7.55</v>
      </c>
      <c r="G585" s="2">
        <f>E585*F585</f>
        <v>0</v>
      </c>
      <c r="H585" s="2">
        <v>407.7</v>
      </c>
      <c r="I585" s="2">
        <f>ROUND(H585-G585, 2)</f>
        <v>0</v>
      </c>
      <c r="J585">
        <f>IF(ABS(I585)&gt;0.01, "Priority 3", "None")</f>
        <v>0</v>
      </c>
    </row>
    <row r="586" spans="1:10">
      <c r="A586" t="s">
        <v>1657</v>
      </c>
      <c r="B586" t="s">
        <v>1541</v>
      </c>
      <c r="C586">
        <v>24</v>
      </c>
      <c r="D586">
        <v>40</v>
      </c>
      <c r="E586">
        <f>MAX(ROUNDUP(D586, 0), C586)</f>
        <v>0</v>
      </c>
      <c r="F586" s="2">
        <v>7.55</v>
      </c>
      <c r="G586" s="2">
        <f>E586*F586</f>
        <v>0</v>
      </c>
      <c r="H586" s="2">
        <v>302</v>
      </c>
      <c r="I586" s="2">
        <f>ROUND(H586-G586, 2)</f>
        <v>0</v>
      </c>
      <c r="J586">
        <f>IF(ABS(I586)&gt;0.01, "Priority 3", "None")</f>
        <v>0</v>
      </c>
    </row>
    <row r="587" spans="1:10">
      <c r="A587" t="s">
        <v>1658</v>
      </c>
      <c r="B587" t="s">
        <v>1541</v>
      </c>
      <c r="C587">
        <v>28</v>
      </c>
      <c r="D587">
        <v>42.7</v>
      </c>
      <c r="E587">
        <f>MAX(ROUNDUP(D587, 0), C587)</f>
        <v>0</v>
      </c>
      <c r="F587" s="2">
        <v>7.55</v>
      </c>
      <c r="G587" s="2">
        <f>E587*F587</f>
        <v>0</v>
      </c>
      <c r="H587" s="2">
        <v>324.65</v>
      </c>
      <c r="I587" s="2">
        <f>ROUND(H587-G587, 2)</f>
        <v>0</v>
      </c>
      <c r="J587">
        <f>IF(ABS(I587)&gt;0.01, "Priority 3", "None")</f>
        <v>0</v>
      </c>
    </row>
    <row r="588" spans="1:10">
      <c r="A588" t="s">
        <v>1659</v>
      </c>
      <c r="B588" t="s">
        <v>1541</v>
      </c>
      <c r="C588">
        <v>28</v>
      </c>
      <c r="D588">
        <v>51.6</v>
      </c>
      <c r="E588">
        <f>MAX(ROUNDUP(D588, 0), C588)</f>
        <v>0</v>
      </c>
      <c r="F588" s="2">
        <v>7.55</v>
      </c>
      <c r="G588" s="2">
        <f>E588*F588</f>
        <v>0</v>
      </c>
      <c r="H588" s="2">
        <v>392.6</v>
      </c>
      <c r="I588" s="2">
        <f>ROUND(H588-G588, 2)</f>
        <v>0</v>
      </c>
      <c r="J588">
        <f>IF(ABS(I588)&gt;0.01, "Priority 3", "None")</f>
        <v>0</v>
      </c>
    </row>
    <row r="589" spans="1:10">
      <c r="A589" t="s">
        <v>1660</v>
      </c>
      <c r="B589" t="s">
        <v>1541</v>
      </c>
      <c r="C589">
        <v>28</v>
      </c>
      <c r="D589">
        <v>50.3</v>
      </c>
      <c r="E589">
        <f>MAX(ROUNDUP(D589, 0), C589)</f>
        <v>0</v>
      </c>
      <c r="F589" s="2">
        <v>7.55</v>
      </c>
      <c r="G589" s="2">
        <f>E589*F589</f>
        <v>0</v>
      </c>
      <c r="H589" s="2">
        <v>385.05</v>
      </c>
      <c r="I589" s="2">
        <f>ROUND(H589-G589, 2)</f>
        <v>0</v>
      </c>
      <c r="J589">
        <f>IF(ABS(I589)&gt;0.01, "Priority 3", "None")</f>
        <v>0</v>
      </c>
    </row>
    <row r="590" spans="1:10">
      <c r="A590" t="s">
        <v>1661</v>
      </c>
      <c r="B590" t="s">
        <v>1541</v>
      </c>
      <c r="C590">
        <v>24</v>
      </c>
      <c r="D590">
        <v>47</v>
      </c>
      <c r="E590">
        <f>MAX(ROUNDUP(D590, 0), C590)</f>
        <v>0</v>
      </c>
      <c r="F590" s="2">
        <v>7.55</v>
      </c>
      <c r="G590" s="2">
        <f>E590*F590</f>
        <v>0</v>
      </c>
      <c r="H590" s="2">
        <v>354.85</v>
      </c>
      <c r="I590" s="2">
        <f>ROUND(H590-G590, 2)</f>
        <v>0</v>
      </c>
      <c r="J590">
        <f>IF(ABS(I590)&gt;0.01, "Priority 3", "None")</f>
        <v>0</v>
      </c>
    </row>
    <row r="591" spans="1:10">
      <c r="A591" t="s">
        <v>1662</v>
      </c>
      <c r="B591" t="s">
        <v>1541</v>
      </c>
      <c r="C591">
        <v>45</v>
      </c>
      <c r="D591">
        <v>53</v>
      </c>
      <c r="E591">
        <f>MAX(ROUNDUP(D591, 0), C591)</f>
        <v>0</v>
      </c>
      <c r="F591" s="2">
        <v>7.55</v>
      </c>
      <c r="G591" s="2">
        <f>E591*F591</f>
        <v>0</v>
      </c>
      <c r="H591" s="2">
        <v>400.15</v>
      </c>
      <c r="I591" s="2">
        <f>ROUND(H591-G591, 2)</f>
        <v>0</v>
      </c>
      <c r="J591">
        <f>IF(ABS(I591)&gt;0.01, "Priority 3", "None")</f>
        <v>0</v>
      </c>
    </row>
    <row r="592" spans="1:10">
      <c r="A592" t="s">
        <v>1663</v>
      </c>
      <c r="B592" t="s">
        <v>1541</v>
      </c>
      <c r="C592">
        <v>45</v>
      </c>
      <c r="D592">
        <v>23.5</v>
      </c>
      <c r="E592">
        <f>MAX(ROUNDUP(D592, 0), C592)</f>
        <v>0</v>
      </c>
      <c r="F592" s="2">
        <v>7.55</v>
      </c>
      <c r="G592" s="2">
        <f>E592*F592</f>
        <v>0</v>
      </c>
      <c r="H592" s="2">
        <v>339.75</v>
      </c>
      <c r="I592" s="2">
        <f>ROUND(H592-G592, 2)</f>
        <v>0</v>
      </c>
      <c r="J592">
        <f>IF(ABS(I592)&gt;0.01, "Priority 3", "None")</f>
        <v>0</v>
      </c>
    </row>
    <row r="593" spans="1:10">
      <c r="A593" t="s">
        <v>1664</v>
      </c>
      <c r="B593" t="s">
        <v>1541</v>
      </c>
      <c r="C593">
        <v>36</v>
      </c>
      <c r="D593">
        <v>42.6</v>
      </c>
      <c r="E593">
        <f>MAX(ROUNDUP(D593, 0), C593)</f>
        <v>0</v>
      </c>
      <c r="F593" s="2">
        <v>7.55</v>
      </c>
      <c r="G593" s="2">
        <f>E593*F593</f>
        <v>0</v>
      </c>
      <c r="H593" s="2">
        <v>324.65</v>
      </c>
      <c r="I593" s="2">
        <f>ROUND(H593-G593, 2)</f>
        <v>0</v>
      </c>
      <c r="J593">
        <f>IF(ABS(I593)&gt;0.01, "Priority 3", "None")</f>
        <v>0</v>
      </c>
    </row>
    <row r="594" spans="1:10">
      <c r="A594" t="s">
        <v>1665</v>
      </c>
      <c r="B594" t="s">
        <v>1541</v>
      </c>
      <c r="C594">
        <v>70</v>
      </c>
      <c r="D594">
        <v>27</v>
      </c>
      <c r="E594">
        <f>MAX(ROUNDUP(D594, 0), C594)</f>
        <v>0</v>
      </c>
      <c r="F594" s="2">
        <v>7.55</v>
      </c>
      <c r="G594" s="2">
        <f>E594*F594</f>
        <v>0</v>
      </c>
      <c r="H594" s="2">
        <v>528.5</v>
      </c>
      <c r="I594" s="2">
        <f>ROUND(H594-G594, 2)</f>
        <v>0</v>
      </c>
      <c r="J594">
        <f>IF(ABS(I594)&gt;0.01, "Priority 3", "None")</f>
        <v>0</v>
      </c>
    </row>
    <row r="595" spans="1:10">
      <c r="A595" t="s">
        <v>1666</v>
      </c>
      <c r="B595" t="s">
        <v>1541</v>
      </c>
      <c r="C595">
        <v>28</v>
      </c>
      <c r="D595">
        <v>27.3</v>
      </c>
      <c r="E595">
        <f>MAX(ROUNDUP(D595, 0), C595)</f>
        <v>0</v>
      </c>
      <c r="F595" s="2">
        <v>7.55</v>
      </c>
      <c r="G595" s="2">
        <f>E595*F595</f>
        <v>0</v>
      </c>
      <c r="H595" s="2">
        <v>211.4</v>
      </c>
      <c r="I595" s="2">
        <f>ROUND(H595-G595, 2)</f>
        <v>0</v>
      </c>
      <c r="J595">
        <f>IF(ABS(I595)&gt;0.01, "Priority 3", "None")</f>
        <v>0</v>
      </c>
    </row>
    <row r="596" spans="1:10">
      <c r="A596" t="s">
        <v>1667</v>
      </c>
      <c r="B596" t="s">
        <v>1541</v>
      </c>
      <c r="C596">
        <v>80</v>
      </c>
      <c r="D596">
        <v>61.6</v>
      </c>
      <c r="E596">
        <f>MAX(ROUNDUP(D596, 0), C596)</f>
        <v>0</v>
      </c>
      <c r="F596" s="2">
        <v>7.55</v>
      </c>
      <c r="G596" s="2">
        <f>E596*F596</f>
        <v>0</v>
      </c>
      <c r="H596" s="2">
        <v>604</v>
      </c>
      <c r="I596" s="2">
        <f>ROUND(H596-G596, 2)</f>
        <v>0</v>
      </c>
      <c r="J596">
        <f>IF(ABS(I596)&gt;0.01, "Priority 3", "None")</f>
        <v>0</v>
      </c>
    </row>
    <row r="597" spans="1:10">
      <c r="A597" t="s">
        <v>1668</v>
      </c>
      <c r="B597" t="s">
        <v>1541</v>
      </c>
      <c r="C597">
        <v>32</v>
      </c>
      <c r="D597">
        <v>61.8</v>
      </c>
      <c r="E597">
        <f>MAX(ROUNDUP(D597, 0), C597)</f>
        <v>0</v>
      </c>
      <c r="F597" s="2">
        <v>7.55</v>
      </c>
      <c r="G597" s="2">
        <f>E597*F597</f>
        <v>0</v>
      </c>
      <c r="H597" s="2">
        <v>468.1</v>
      </c>
      <c r="I597" s="2">
        <f>ROUND(H597-G597, 2)</f>
        <v>0</v>
      </c>
      <c r="J597">
        <f>IF(ABS(I597)&gt;0.01, "Priority 3", "None")</f>
        <v>0</v>
      </c>
    </row>
    <row r="598" spans="1:10">
      <c r="A598" t="s">
        <v>1669</v>
      </c>
      <c r="B598" t="s">
        <v>1541</v>
      </c>
      <c r="C598">
        <v>60</v>
      </c>
      <c r="D598">
        <v>47.3</v>
      </c>
      <c r="E598">
        <f>MAX(ROUNDUP(D598, 0), C598)</f>
        <v>0</v>
      </c>
      <c r="F598" s="2">
        <v>7.55</v>
      </c>
      <c r="G598" s="2">
        <f>E598*F598</f>
        <v>0</v>
      </c>
      <c r="H598" s="2">
        <v>453</v>
      </c>
      <c r="I598" s="2">
        <f>ROUND(H598-G598, 2)</f>
        <v>0</v>
      </c>
      <c r="J598">
        <f>IF(ABS(I598)&gt;0.01, "Priority 3", "None")</f>
        <v>0</v>
      </c>
    </row>
    <row r="599" spans="1:10">
      <c r="A599" t="s">
        <v>1670</v>
      </c>
      <c r="B599" t="s">
        <v>1541</v>
      </c>
      <c r="C599">
        <v>45</v>
      </c>
      <c r="D599">
        <v>24</v>
      </c>
      <c r="E599">
        <f>MAX(ROUNDUP(D599, 0), C599)</f>
        <v>0</v>
      </c>
      <c r="F599" s="2">
        <v>7.55</v>
      </c>
      <c r="G599" s="2">
        <f>E599*F599</f>
        <v>0</v>
      </c>
      <c r="H599" s="2">
        <v>339.75</v>
      </c>
      <c r="I599" s="2">
        <f>ROUND(H599-G599, 2)</f>
        <v>0</v>
      </c>
      <c r="J599">
        <f>IF(ABS(I599)&gt;0.01, "Priority 3", "None")</f>
        <v>0</v>
      </c>
    </row>
    <row r="600" spans="1:10">
      <c r="A600" t="s">
        <v>1671</v>
      </c>
      <c r="B600" t="s">
        <v>1541</v>
      </c>
      <c r="C600">
        <v>32</v>
      </c>
      <c r="D600">
        <v>51.2</v>
      </c>
      <c r="E600">
        <f>MAX(ROUNDUP(D600, 0), C600)</f>
        <v>0</v>
      </c>
      <c r="F600" s="2">
        <v>7.55</v>
      </c>
      <c r="G600" s="2">
        <f>E600*F600</f>
        <v>0</v>
      </c>
      <c r="H600" s="2">
        <v>392.6</v>
      </c>
      <c r="I600" s="2">
        <f>ROUND(H600-G600, 2)</f>
        <v>0</v>
      </c>
      <c r="J600">
        <f>IF(ABS(I600)&gt;0.01, "Priority 3", "None")</f>
        <v>0</v>
      </c>
    </row>
    <row r="601" spans="1:10">
      <c r="A601" t="s">
        <v>1672</v>
      </c>
      <c r="B601" t="s">
        <v>1541</v>
      </c>
      <c r="C601">
        <v>32</v>
      </c>
      <c r="D601">
        <v>44.2</v>
      </c>
      <c r="E601">
        <f>MAX(ROUNDUP(D601, 0), C601)</f>
        <v>0</v>
      </c>
      <c r="F601" s="2">
        <v>7.55</v>
      </c>
      <c r="G601" s="2">
        <f>E601*F601</f>
        <v>0</v>
      </c>
      <c r="H601" s="2">
        <v>339.75</v>
      </c>
      <c r="I601" s="2">
        <f>ROUND(H601-G601, 2)</f>
        <v>0</v>
      </c>
      <c r="J601">
        <f>IF(ABS(I601)&gt;0.01, "Priority 3", "None")</f>
        <v>0</v>
      </c>
    </row>
    <row r="602" spans="1:10">
      <c r="A602" t="s">
        <v>1673</v>
      </c>
      <c r="B602" t="s">
        <v>1541</v>
      </c>
      <c r="C602">
        <v>40</v>
      </c>
      <c r="D602">
        <v>50.3</v>
      </c>
      <c r="E602">
        <f>MAX(ROUNDUP(D602, 0), C602)</f>
        <v>0</v>
      </c>
      <c r="F602" s="2">
        <v>7.55</v>
      </c>
      <c r="G602" s="2">
        <f>E602*F602</f>
        <v>0</v>
      </c>
      <c r="H602" s="2">
        <v>385.05</v>
      </c>
      <c r="I602" s="2">
        <f>ROUND(H602-G602, 2)</f>
        <v>0</v>
      </c>
      <c r="J602">
        <f>IF(ABS(I602)&gt;0.01, "Priority 3", "None")</f>
        <v>0</v>
      </c>
    </row>
    <row r="603" spans="1:10">
      <c r="A603" t="s">
        <v>1674</v>
      </c>
      <c r="B603" t="s">
        <v>1541</v>
      </c>
      <c r="C603">
        <v>36</v>
      </c>
      <c r="D603">
        <v>42.5</v>
      </c>
      <c r="E603">
        <f>MAX(ROUNDUP(D603, 0), C603)</f>
        <v>0</v>
      </c>
      <c r="F603" s="2">
        <v>7.55</v>
      </c>
      <c r="G603" s="2">
        <f>E603*F603</f>
        <v>0</v>
      </c>
      <c r="H603" s="2">
        <v>324.65</v>
      </c>
      <c r="I603" s="2">
        <f>ROUND(H603-G603, 2)</f>
        <v>0</v>
      </c>
      <c r="J603">
        <f>IF(ABS(I603)&gt;0.01, "Priority 3", "None")</f>
        <v>0</v>
      </c>
    </row>
    <row r="604" spans="1:10">
      <c r="A604" t="s">
        <v>1675</v>
      </c>
      <c r="B604" t="s">
        <v>1541</v>
      </c>
      <c r="C604">
        <v>50</v>
      </c>
      <c r="D604">
        <v>44.2</v>
      </c>
      <c r="E604">
        <f>MAX(ROUNDUP(D604, 0), C604)</f>
        <v>0</v>
      </c>
      <c r="F604" s="2">
        <v>7.55</v>
      </c>
      <c r="G604" s="2">
        <f>E604*F604</f>
        <v>0</v>
      </c>
      <c r="H604" s="2">
        <v>377.5</v>
      </c>
      <c r="I604" s="2">
        <f>ROUND(H604-G604, 2)</f>
        <v>0</v>
      </c>
      <c r="J604">
        <f>IF(ABS(I604)&gt;0.01, "Priority 3", "None")</f>
        <v>0</v>
      </c>
    </row>
    <row r="605" spans="1:10">
      <c r="A605" t="s">
        <v>1676</v>
      </c>
      <c r="B605" t="s">
        <v>1541</v>
      </c>
      <c r="C605">
        <v>28</v>
      </c>
      <c r="D605">
        <v>23.6</v>
      </c>
      <c r="E605">
        <f>MAX(ROUNDUP(D605, 0), C605)</f>
        <v>0</v>
      </c>
      <c r="F605" s="2">
        <v>7.55</v>
      </c>
      <c r="G605" s="2">
        <f>E605*F605</f>
        <v>0</v>
      </c>
      <c r="H605" s="2">
        <v>211.4</v>
      </c>
      <c r="I605" s="2">
        <f>ROUND(H605-G605, 2)</f>
        <v>0</v>
      </c>
      <c r="J605">
        <f>IF(ABS(I605)&gt;0.01, "Priority 3", "None")</f>
        <v>0</v>
      </c>
    </row>
    <row r="606" spans="1:10">
      <c r="A606" t="s">
        <v>1677</v>
      </c>
      <c r="B606" t="s">
        <v>1541</v>
      </c>
      <c r="C606">
        <v>24</v>
      </c>
      <c r="D606">
        <v>27.6</v>
      </c>
      <c r="E606">
        <f>MAX(ROUNDUP(D606, 0), C606)</f>
        <v>0</v>
      </c>
      <c r="F606" s="2">
        <v>7.55</v>
      </c>
      <c r="G606" s="2">
        <f>E606*F606</f>
        <v>0</v>
      </c>
      <c r="H606" s="2">
        <v>211.4</v>
      </c>
      <c r="I606" s="2">
        <f>ROUND(H606-G606, 2)</f>
        <v>0</v>
      </c>
      <c r="J606">
        <f>IF(ABS(I606)&gt;0.01, "Priority 3", "None")</f>
        <v>0</v>
      </c>
    </row>
    <row r="607" spans="1:10">
      <c r="A607" t="s">
        <v>1678</v>
      </c>
      <c r="B607" t="s">
        <v>1541</v>
      </c>
      <c r="C607">
        <v>32</v>
      </c>
      <c r="D607">
        <v>50.6</v>
      </c>
      <c r="E607">
        <f>MAX(ROUNDUP(D607, 0), C607)</f>
        <v>0</v>
      </c>
      <c r="F607" s="2">
        <v>7.55</v>
      </c>
      <c r="G607" s="2">
        <f>E607*F607</f>
        <v>0</v>
      </c>
      <c r="H607" s="2">
        <v>385.05</v>
      </c>
      <c r="I607" s="2">
        <f>ROUND(H607-G607, 2)</f>
        <v>0</v>
      </c>
      <c r="J607">
        <f>IF(ABS(I607)&gt;0.01, "Priority 3", "None")</f>
        <v>0</v>
      </c>
    </row>
    <row r="608" spans="1:10">
      <c r="A608" t="s">
        <v>1679</v>
      </c>
      <c r="B608" t="s">
        <v>1541</v>
      </c>
      <c r="C608">
        <v>32</v>
      </c>
      <c r="D608">
        <v>32.3</v>
      </c>
      <c r="E608">
        <f>MAX(ROUNDUP(D608, 0), C608)</f>
        <v>0</v>
      </c>
      <c r="F608" s="2">
        <v>7.55</v>
      </c>
      <c r="G608" s="2">
        <f>E608*F608</f>
        <v>0</v>
      </c>
      <c r="H608" s="2">
        <v>249.15</v>
      </c>
      <c r="I608" s="2">
        <f>ROUND(H608-G608, 2)</f>
        <v>0</v>
      </c>
      <c r="J608">
        <f>IF(ABS(I608)&gt;0.01, "Priority 3", "None")</f>
        <v>0</v>
      </c>
    </row>
    <row r="609" spans="1:10">
      <c r="A609" t="s">
        <v>1680</v>
      </c>
      <c r="B609" t="s">
        <v>1541</v>
      </c>
      <c r="C609">
        <v>50</v>
      </c>
      <c r="D609">
        <v>59.1</v>
      </c>
      <c r="E609">
        <f>MAX(ROUNDUP(D609, 0), C609)</f>
        <v>0</v>
      </c>
      <c r="F609" s="2">
        <v>7.55</v>
      </c>
      <c r="G609" s="2">
        <f>E609*F609</f>
        <v>0</v>
      </c>
      <c r="H609" s="2">
        <v>453</v>
      </c>
      <c r="I609" s="2">
        <f>ROUND(H609-G609, 2)</f>
        <v>0</v>
      </c>
      <c r="J609">
        <f>IF(ABS(I609)&gt;0.01, "Priority 3", "None")</f>
        <v>0</v>
      </c>
    </row>
    <row r="610" spans="1:10">
      <c r="A610" t="s">
        <v>1681</v>
      </c>
      <c r="B610" t="s">
        <v>1541</v>
      </c>
      <c r="C610">
        <v>45</v>
      </c>
      <c r="D610">
        <v>49.1</v>
      </c>
      <c r="E610">
        <f>MAX(ROUNDUP(D610, 0), C610)</f>
        <v>0</v>
      </c>
      <c r="F610" s="2">
        <v>7.55</v>
      </c>
      <c r="G610" s="2">
        <f>E610*F610</f>
        <v>0</v>
      </c>
      <c r="H610" s="2">
        <v>377.5</v>
      </c>
      <c r="I610" s="2">
        <f>ROUND(H610-G610, 2)</f>
        <v>0</v>
      </c>
      <c r="J610">
        <f>IF(ABS(I610)&gt;0.01, "Priority 3", "None")</f>
        <v>0</v>
      </c>
    </row>
    <row r="611" spans="1:10">
      <c r="A611" t="s">
        <v>1682</v>
      </c>
      <c r="B611" t="s">
        <v>1541</v>
      </c>
      <c r="C611">
        <v>28</v>
      </c>
      <c r="D611">
        <v>21.9</v>
      </c>
      <c r="E611">
        <f>MAX(ROUNDUP(D611, 0), C611)</f>
        <v>0</v>
      </c>
      <c r="F611" s="2">
        <v>7.55</v>
      </c>
      <c r="G611" s="2">
        <f>E611*F611</f>
        <v>0</v>
      </c>
      <c r="H611" s="2">
        <v>211.4</v>
      </c>
      <c r="I611" s="2">
        <f>ROUND(H611-G611, 2)</f>
        <v>0</v>
      </c>
      <c r="J611">
        <f>IF(ABS(I611)&gt;0.01, "Priority 3", "None")</f>
        <v>0</v>
      </c>
    </row>
    <row r="612" spans="1:10">
      <c r="A612" t="s">
        <v>1683</v>
      </c>
      <c r="B612" t="s">
        <v>1541</v>
      </c>
      <c r="C612">
        <v>36</v>
      </c>
      <c r="D612">
        <v>39.5</v>
      </c>
      <c r="E612">
        <f>MAX(ROUNDUP(D612, 0), C612)</f>
        <v>0</v>
      </c>
      <c r="F612" s="2">
        <v>7.55</v>
      </c>
      <c r="G612" s="2">
        <f>E612*F612</f>
        <v>0</v>
      </c>
      <c r="H612" s="2">
        <v>302</v>
      </c>
      <c r="I612" s="2">
        <f>ROUND(H612-G612, 2)</f>
        <v>0</v>
      </c>
      <c r="J612">
        <f>IF(ABS(I612)&gt;0.01, "Priority 3", "None")</f>
        <v>0</v>
      </c>
    </row>
    <row r="613" spans="1:10">
      <c r="A613" t="s">
        <v>1684</v>
      </c>
      <c r="B613" t="s">
        <v>1541</v>
      </c>
      <c r="C613">
        <v>60</v>
      </c>
      <c r="D613">
        <v>35.8</v>
      </c>
      <c r="E613">
        <f>MAX(ROUNDUP(D613, 0), C613)</f>
        <v>0</v>
      </c>
      <c r="F613" s="2">
        <v>7.55</v>
      </c>
      <c r="G613" s="2">
        <f>E613*F613</f>
        <v>0</v>
      </c>
      <c r="H613" s="2">
        <v>453</v>
      </c>
      <c r="I613" s="2">
        <f>ROUND(H613-G613, 2)</f>
        <v>0</v>
      </c>
      <c r="J613">
        <f>IF(ABS(I613)&gt;0.01, "Priority 3", "None")</f>
        <v>0</v>
      </c>
    </row>
    <row r="614" spans="1:10">
      <c r="A614" t="s">
        <v>1685</v>
      </c>
      <c r="B614" t="s">
        <v>1541</v>
      </c>
      <c r="C614">
        <v>36</v>
      </c>
      <c r="D614">
        <v>51.1</v>
      </c>
      <c r="E614">
        <f>MAX(ROUNDUP(D614, 0), C614)</f>
        <v>0</v>
      </c>
      <c r="F614" s="2">
        <v>7.55</v>
      </c>
      <c r="G614" s="2">
        <f>E614*F614</f>
        <v>0</v>
      </c>
      <c r="H614" s="2">
        <v>392.6</v>
      </c>
      <c r="I614" s="2">
        <f>ROUND(H614-G614, 2)</f>
        <v>0</v>
      </c>
      <c r="J614">
        <f>IF(ABS(I614)&gt;0.01, "Priority 3", "None")</f>
        <v>0</v>
      </c>
    </row>
    <row r="615" spans="1:10">
      <c r="A615" t="s">
        <v>1686</v>
      </c>
      <c r="B615" t="s">
        <v>1541</v>
      </c>
      <c r="C615">
        <v>40</v>
      </c>
      <c r="D615">
        <v>29.3</v>
      </c>
      <c r="E615">
        <f>MAX(ROUNDUP(D615, 0), C615)</f>
        <v>0</v>
      </c>
      <c r="F615" s="2">
        <v>7.55</v>
      </c>
      <c r="G615" s="2">
        <f>E615*F615</f>
        <v>0</v>
      </c>
      <c r="H615" s="2">
        <v>302</v>
      </c>
      <c r="I615" s="2">
        <f>ROUND(H615-G615, 2)</f>
        <v>0</v>
      </c>
      <c r="J615">
        <f>IF(ABS(I615)&gt;0.01, "Priority 3", "None")</f>
        <v>0</v>
      </c>
    </row>
    <row r="616" spans="1:10">
      <c r="A616" t="s">
        <v>1687</v>
      </c>
      <c r="B616" t="s">
        <v>1541</v>
      </c>
      <c r="C616">
        <v>24</v>
      </c>
      <c r="D616">
        <v>46.9</v>
      </c>
      <c r="E616">
        <f>MAX(ROUNDUP(D616, 0), C616)</f>
        <v>0</v>
      </c>
      <c r="F616" s="2">
        <v>7.55</v>
      </c>
      <c r="G616" s="2">
        <f>E616*F616</f>
        <v>0</v>
      </c>
      <c r="H616" s="2">
        <v>354.85</v>
      </c>
      <c r="I616" s="2">
        <f>ROUND(H616-G616, 2)</f>
        <v>0</v>
      </c>
      <c r="J616">
        <f>IF(ABS(I616)&gt;0.01, "Priority 3", "None")</f>
        <v>0</v>
      </c>
    </row>
    <row r="617" spans="1:10">
      <c r="A617" t="s">
        <v>1688</v>
      </c>
      <c r="B617" t="s">
        <v>1541</v>
      </c>
      <c r="C617">
        <v>32</v>
      </c>
      <c r="D617">
        <v>54.4</v>
      </c>
      <c r="E617">
        <f>MAX(ROUNDUP(D617, 0), C617)</f>
        <v>0</v>
      </c>
      <c r="F617" s="2">
        <v>7.55</v>
      </c>
      <c r="G617" s="2">
        <f>E617*F617</f>
        <v>0</v>
      </c>
      <c r="H617" s="2">
        <v>415.25</v>
      </c>
      <c r="I617" s="2">
        <f>ROUND(H617-G617, 2)</f>
        <v>0</v>
      </c>
      <c r="J617">
        <f>IF(ABS(I617)&gt;0.01, "Priority 3", "None")</f>
        <v>0</v>
      </c>
    </row>
    <row r="618" spans="1:10">
      <c r="A618" t="s">
        <v>1689</v>
      </c>
      <c r="B618" t="s">
        <v>1541</v>
      </c>
      <c r="C618">
        <v>50</v>
      </c>
      <c r="D618">
        <v>53.3</v>
      </c>
      <c r="E618">
        <f>MAX(ROUNDUP(D618, 0), C618)</f>
        <v>0</v>
      </c>
      <c r="F618" s="2">
        <v>7.55</v>
      </c>
      <c r="G618" s="2">
        <f>E618*F618</f>
        <v>0</v>
      </c>
      <c r="H618" s="2">
        <v>407.7</v>
      </c>
      <c r="I618" s="2">
        <f>ROUND(H618-G618, 2)</f>
        <v>0</v>
      </c>
      <c r="J618">
        <f>IF(ABS(I618)&gt;0.01, "Priority 3", "None")</f>
        <v>0</v>
      </c>
    </row>
    <row r="619" spans="1:10">
      <c r="A619" t="s">
        <v>1690</v>
      </c>
      <c r="B619" t="s">
        <v>1541</v>
      </c>
      <c r="C619">
        <v>70</v>
      </c>
      <c r="D619">
        <v>35.8</v>
      </c>
      <c r="E619">
        <f>MAX(ROUNDUP(D619, 0), C619)</f>
        <v>0</v>
      </c>
      <c r="F619" s="2">
        <v>7.55</v>
      </c>
      <c r="G619" s="2">
        <f>E619*F619</f>
        <v>0</v>
      </c>
      <c r="H619" s="2">
        <v>528.5</v>
      </c>
      <c r="I619" s="2">
        <f>ROUND(H619-G619, 2)</f>
        <v>0</v>
      </c>
      <c r="J619">
        <f>IF(ABS(I619)&gt;0.01, "Priority 3", "None")</f>
        <v>0</v>
      </c>
    </row>
    <row r="620" spans="1:10">
      <c r="A620" t="s">
        <v>1691</v>
      </c>
      <c r="B620" t="s">
        <v>1541</v>
      </c>
      <c r="C620">
        <v>45</v>
      </c>
      <c r="D620">
        <v>22.3</v>
      </c>
      <c r="E620">
        <f>MAX(ROUNDUP(D620, 0), C620)</f>
        <v>0</v>
      </c>
      <c r="F620" s="2">
        <v>7.55</v>
      </c>
      <c r="G620" s="2">
        <f>E620*F620</f>
        <v>0</v>
      </c>
      <c r="H620" s="2">
        <v>339.75</v>
      </c>
      <c r="I620" s="2">
        <f>ROUND(H620-G620, 2)</f>
        <v>0</v>
      </c>
      <c r="J620">
        <f>IF(ABS(I620)&gt;0.01, "Priority 3", "None")</f>
        <v>0</v>
      </c>
    </row>
    <row r="621" spans="1:10">
      <c r="A621" t="s">
        <v>1692</v>
      </c>
      <c r="B621" t="s">
        <v>1541</v>
      </c>
      <c r="C621">
        <v>70</v>
      </c>
      <c r="D621">
        <v>53.3</v>
      </c>
      <c r="E621">
        <f>MAX(ROUNDUP(D621, 0), C621)</f>
        <v>0</v>
      </c>
      <c r="F621" s="2">
        <v>7.55</v>
      </c>
      <c r="G621" s="2">
        <f>E621*F621</f>
        <v>0</v>
      </c>
      <c r="H621" s="2">
        <v>528.5</v>
      </c>
      <c r="I621" s="2">
        <f>ROUND(H621-G621, 2)</f>
        <v>0</v>
      </c>
      <c r="J621">
        <f>IF(ABS(I621)&gt;0.01, "Priority 3", "None")</f>
        <v>0</v>
      </c>
    </row>
    <row r="622" spans="1:10">
      <c r="A622" t="s">
        <v>1693</v>
      </c>
      <c r="B622" t="s">
        <v>1541</v>
      </c>
      <c r="C622">
        <v>28</v>
      </c>
      <c r="D622">
        <v>56.4</v>
      </c>
      <c r="E622">
        <f>MAX(ROUNDUP(D622, 0), C622)</f>
        <v>0</v>
      </c>
      <c r="F622" s="2">
        <v>7.55</v>
      </c>
      <c r="G622" s="2">
        <f>E622*F622</f>
        <v>0</v>
      </c>
      <c r="H622" s="2">
        <v>430.35</v>
      </c>
      <c r="I622" s="2">
        <f>ROUND(H622-G622, 2)</f>
        <v>0</v>
      </c>
      <c r="J622">
        <f>IF(ABS(I622)&gt;0.01, "Priority 3", "None")</f>
        <v>0</v>
      </c>
    </row>
    <row r="623" spans="1:10">
      <c r="A623" t="s">
        <v>1694</v>
      </c>
      <c r="B623" t="s">
        <v>1541</v>
      </c>
      <c r="C623">
        <v>32</v>
      </c>
      <c r="D623">
        <v>22.4</v>
      </c>
      <c r="E623">
        <f>MAX(ROUNDUP(D623, 0), C623)</f>
        <v>0</v>
      </c>
      <c r="F623" s="2">
        <v>7.55</v>
      </c>
      <c r="G623" s="2">
        <f>E623*F623</f>
        <v>0</v>
      </c>
      <c r="H623" s="2">
        <v>241.6</v>
      </c>
      <c r="I623" s="2">
        <f>ROUND(H623-G623, 2)</f>
        <v>0</v>
      </c>
      <c r="J623">
        <f>IF(ABS(I623)&gt;0.01, "Priority 3", "None")</f>
        <v>0</v>
      </c>
    </row>
    <row r="624" spans="1:10">
      <c r="A624" t="s">
        <v>1695</v>
      </c>
      <c r="B624" t="s">
        <v>1541</v>
      </c>
      <c r="C624">
        <v>28</v>
      </c>
      <c r="D624">
        <v>59</v>
      </c>
      <c r="E624">
        <f>MAX(ROUNDUP(D624, 0), C624)</f>
        <v>0</v>
      </c>
      <c r="F624" s="2">
        <v>7.55</v>
      </c>
      <c r="G624" s="2">
        <f>E624*F624</f>
        <v>0</v>
      </c>
      <c r="H624" s="2">
        <v>445.45</v>
      </c>
      <c r="I624" s="2">
        <f>ROUND(H624-G624, 2)</f>
        <v>0</v>
      </c>
      <c r="J624">
        <f>IF(ABS(I624)&gt;0.01, "Priority 3", "None")</f>
        <v>0</v>
      </c>
    </row>
    <row r="625" spans="1:10">
      <c r="A625" t="s">
        <v>1696</v>
      </c>
      <c r="B625" t="s">
        <v>1541</v>
      </c>
      <c r="C625">
        <v>36</v>
      </c>
      <c r="D625">
        <v>33.5</v>
      </c>
      <c r="E625">
        <f>MAX(ROUNDUP(D625, 0), C625)</f>
        <v>0</v>
      </c>
      <c r="F625" s="2">
        <v>7.55</v>
      </c>
      <c r="G625" s="2">
        <f>E625*F625</f>
        <v>0</v>
      </c>
      <c r="H625" s="2">
        <v>271.8</v>
      </c>
      <c r="I625" s="2">
        <f>ROUND(H625-G625, 2)</f>
        <v>0</v>
      </c>
      <c r="J625">
        <f>IF(ABS(I625)&gt;0.01, "Priority 3", "None")</f>
        <v>0</v>
      </c>
    </row>
    <row r="626" spans="1:10">
      <c r="A626" t="s">
        <v>1697</v>
      </c>
      <c r="B626" t="s">
        <v>1541</v>
      </c>
      <c r="C626">
        <v>28</v>
      </c>
      <c r="D626">
        <v>29.3</v>
      </c>
      <c r="E626">
        <f>MAX(ROUNDUP(D626, 0), C626)</f>
        <v>0</v>
      </c>
      <c r="F626" s="2">
        <v>7.55</v>
      </c>
      <c r="G626" s="2">
        <f>E626*F626</f>
        <v>0</v>
      </c>
      <c r="H626" s="2">
        <v>226.5</v>
      </c>
      <c r="I626" s="2">
        <f>ROUND(H626-G626, 2)</f>
        <v>0</v>
      </c>
      <c r="J626">
        <f>IF(ABS(I626)&gt;0.01, "Priority 3", "None")</f>
        <v>0</v>
      </c>
    </row>
    <row r="627" spans="1:10">
      <c r="A627" t="s">
        <v>1698</v>
      </c>
      <c r="B627" t="s">
        <v>1541</v>
      </c>
      <c r="C627">
        <v>80</v>
      </c>
      <c r="D627">
        <v>49.7</v>
      </c>
      <c r="E627">
        <f>MAX(ROUNDUP(D627, 0), C627)</f>
        <v>0</v>
      </c>
      <c r="F627" s="2">
        <v>7.55</v>
      </c>
      <c r="G627" s="2">
        <f>E627*F627</f>
        <v>0</v>
      </c>
      <c r="H627" s="2">
        <v>604</v>
      </c>
      <c r="I627" s="2">
        <f>ROUND(H627-G627, 2)</f>
        <v>0</v>
      </c>
      <c r="J627">
        <f>IF(ABS(I627)&gt;0.01, "Priority 3", "None")</f>
        <v>0</v>
      </c>
    </row>
    <row r="628" spans="1:10">
      <c r="A628" t="s">
        <v>1699</v>
      </c>
      <c r="B628" t="s">
        <v>1541</v>
      </c>
      <c r="C628">
        <v>70</v>
      </c>
      <c r="D628">
        <v>58.3</v>
      </c>
      <c r="E628">
        <f>MAX(ROUNDUP(D628, 0), C628)</f>
        <v>0</v>
      </c>
      <c r="F628" s="2">
        <v>7.55</v>
      </c>
      <c r="G628" s="2">
        <f>E628*F628</f>
        <v>0</v>
      </c>
      <c r="H628" s="2">
        <v>528.5</v>
      </c>
      <c r="I628" s="2">
        <f>ROUND(H628-G628, 2)</f>
        <v>0</v>
      </c>
      <c r="J628">
        <f>IF(ABS(I628)&gt;0.01, "Priority 3", "None")</f>
        <v>0</v>
      </c>
    </row>
    <row r="629" spans="1:10">
      <c r="A629" t="s">
        <v>1700</v>
      </c>
      <c r="B629" t="s">
        <v>1541</v>
      </c>
      <c r="C629">
        <v>28</v>
      </c>
      <c r="D629">
        <v>26.3</v>
      </c>
      <c r="E629">
        <f>MAX(ROUNDUP(D629, 0), C629)</f>
        <v>0</v>
      </c>
      <c r="F629" s="2">
        <v>7.55</v>
      </c>
      <c r="G629" s="2">
        <f>E629*F629</f>
        <v>0</v>
      </c>
      <c r="H629" s="2">
        <v>211.4</v>
      </c>
      <c r="I629" s="2">
        <f>ROUND(H629-G629, 2)</f>
        <v>0</v>
      </c>
      <c r="J629">
        <f>IF(ABS(I629)&gt;0.01, "Priority 3", "None")</f>
        <v>0</v>
      </c>
    </row>
    <row r="630" spans="1:10">
      <c r="A630" t="s">
        <v>1701</v>
      </c>
      <c r="B630" t="s">
        <v>1541</v>
      </c>
      <c r="C630">
        <v>70</v>
      </c>
      <c r="D630">
        <v>61</v>
      </c>
      <c r="E630">
        <f>MAX(ROUNDUP(D630, 0), C630)</f>
        <v>0</v>
      </c>
      <c r="F630" s="2">
        <v>7.55</v>
      </c>
      <c r="G630" s="2">
        <f>E630*F630</f>
        <v>0</v>
      </c>
      <c r="H630" s="2">
        <v>528.5</v>
      </c>
      <c r="I630" s="2">
        <f>ROUND(H630-G630, 2)</f>
        <v>0</v>
      </c>
      <c r="J630">
        <f>IF(ABS(I630)&gt;0.01, "Priority 3", "None")</f>
        <v>0</v>
      </c>
    </row>
    <row r="631" spans="1:10">
      <c r="A631" t="s">
        <v>1702</v>
      </c>
      <c r="B631" t="s">
        <v>1541</v>
      </c>
      <c r="C631">
        <v>28</v>
      </c>
      <c r="D631">
        <v>26.4</v>
      </c>
      <c r="E631">
        <f>MAX(ROUNDUP(D631, 0), C631)</f>
        <v>0</v>
      </c>
      <c r="F631" s="2">
        <v>7.55</v>
      </c>
      <c r="G631" s="2">
        <f>E631*F631</f>
        <v>0</v>
      </c>
      <c r="H631" s="2">
        <v>211.4</v>
      </c>
      <c r="I631" s="2">
        <f>ROUND(H631-G631, 2)</f>
        <v>0</v>
      </c>
      <c r="J631">
        <f>IF(ABS(I631)&gt;0.01, "Priority 3", "None")</f>
        <v>0</v>
      </c>
    </row>
    <row r="632" spans="1:10">
      <c r="A632" t="s">
        <v>1703</v>
      </c>
      <c r="B632" t="s">
        <v>1541</v>
      </c>
      <c r="C632">
        <v>45</v>
      </c>
      <c r="D632">
        <v>54.3</v>
      </c>
      <c r="E632">
        <f>MAX(ROUNDUP(D632, 0), C632)</f>
        <v>0</v>
      </c>
      <c r="F632" s="2">
        <v>7.55</v>
      </c>
      <c r="G632" s="2">
        <f>E632*F632</f>
        <v>0</v>
      </c>
      <c r="H632" s="2">
        <v>415.25</v>
      </c>
      <c r="I632" s="2">
        <f>ROUND(H632-G632, 2)</f>
        <v>0</v>
      </c>
      <c r="J632">
        <f>IF(ABS(I632)&gt;0.01, "Priority 3", "None")</f>
        <v>0</v>
      </c>
    </row>
    <row r="633" spans="1:10">
      <c r="A633" t="s">
        <v>1704</v>
      </c>
      <c r="B633" t="s">
        <v>1541</v>
      </c>
      <c r="C633">
        <v>40</v>
      </c>
      <c r="D633">
        <v>30.1</v>
      </c>
      <c r="E633">
        <f>MAX(ROUNDUP(D633, 0), C633)</f>
        <v>0</v>
      </c>
      <c r="F633" s="2">
        <v>7.55</v>
      </c>
      <c r="G633" s="2">
        <f>E633*F633</f>
        <v>0</v>
      </c>
      <c r="H633" s="2">
        <v>302</v>
      </c>
      <c r="I633" s="2">
        <f>ROUND(H633-G633, 2)</f>
        <v>0</v>
      </c>
      <c r="J633">
        <f>IF(ABS(I633)&gt;0.01, "Priority 3", "None")</f>
        <v>0</v>
      </c>
    </row>
    <row r="634" spans="1:10">
      <c r="A634" t="s">
        <v>1705</v>
      </c>
      <c r="B634" t="s">
        <v>1541</v>
      </c>
      <c r="C634">
        <v>50</v>
      </c>
      <c r="D634">
        <v>41.7</v>
      </c>
      <c r="E634">
        <f>MAX(ROUNDUP(D634, 0), C634)</f>
        <v>0</v>
      </c>
      <c r="F634" s="2">
        <v>7.55</v>
      </c>
      <c r="G634" s="2">
        <f>E634*F634</f>
        <v>0</v>
      </c>
      <c r="H634" s="2">
        <v>377.5</v>
      </c>
      <c r="I634" s="2">
        <f>ROUND(H634-G634, 2)</f>
        <v>0</v>
      </c>
      <c r="J634">
        <f>IF(ABS(I634)&gt;0.01, "Priority 3", "None")</f>
        <v>0</v>
      </c>
    </row>
    <row r="635" spans="1:10">
      <c r="A635" t="s">
        <v>1706</v>
      </c>
      <c r="B635" t="s">
        <v>1541</v>
      </c>
      <c r="C635">
        <v>80</v>
      </c>
      <c r="D635">
        <v>39.4</v>
      </c>
      <c r="E635">
        <f>MAX(ROUNDUP(D635, 0), C635)</f>
        <v>0</v>
      </c>
      <c r="F635" s="2">
        <v>7.55</v>
      </c>
      <c r="G635" s="2">
        <f>E635*F635</f>
        <v>0</v>
      </c>
      <c r="H635" s="2">
        <v>604</v>
      </c>
      <c r="I635" s="2">
        <f>ROUND(H635-G635, 2)</f>
        <v>0</v>
      </c>
      <c r="J635">
        <f>IF(ABS(I635)&gt;0.01, "Priority 3", "None")</f>
        <v>0</v>
      </c>
    </row>
    <row r="636" spans="1:10">
      <c r="A636" t="s">
        <v>1707</v>
      </c>
      <c r="B636" t="s">
        <v>1541</v>
      </c>
      <c r="C636">
        <v>24</v>
      </c>
      <c r="D636">
        <v>35.5</v>
      </c>
      <c r="E636">
        <f>MAX(ROUNDUP(D636, 0), C636)</f>
        <v>0</v>
      </c>
      <c r="F636" s="2">
        <v>7.55</v>
      </c>
      <c r="G636" s="2">
        <f>E636*F636</f>
        <v>0</v>
      </c>
      <c r="H636" s="2">
        <v>271.8</v>
      </c>
      <c r="I636" s="2">
        <f>ROUND(H636-G636, 2)</f>
        <v>0</v>
      </c>
      <c r="J636">
        <f>IF(ABS(I636)&gt;0.01, "Priority 3", "None")</f>
        <v>0</v>
      </c>
    </row>
    <row r="637" spans="1:10">
      <c r="A637" t="s">
        <v>1708</v>
      </c>
      <c r="B637" t="s">
        <v>1541</v>
      </c>
      <c r="C637">
        <v>32</v>
      </c>
      <c r="D637">
        <v>54.1</v>
      </c>
      <c r="E637">
        <f>MAX(ROUNDUP(D637, 0), C637)</f>
        <v>0</v>
      </c>
      <c r="F637" s="2">
        <v>7.55</v>
      </c>
      <c r="G637" s="2">
        <f>E637*F637</f>
        <v>0</v>
      </c>
      <c r="H637" s="2">
        <v>415.25</v>
      </c>
      <c r="I637" s="2">
        <f>ROUND(H637-G637, 2)</f>
        <v>0</v>
      </c>
      <c r="J637">
        <f>IF(ABS(I637)&gt;0.01, "Priority 3", "None")</f>
        <v>0</v>
      </c>
    </row>
    <row r="638" spans="1:10">
      <c r="A638" t="s">
        <v>1709</v>
      </c>
      <c r="B638" t="s">
        <v>1541</v>
      </c>
      <c r="C638">
        <v>24</v>
      </c>
      <c r="D638">
        <v>35</v>
      </c>
      <c r="E638">
        <f>MAX(ROUNDUP(D638, 0), C638)</f>
        <v>0</v>
      </c>
      <c r="F638" s="2">
        <v>7.55</v>
      </c>
      <c r="G638" s="2">
        <f>E638*F638</f>
        <v>0</v>
      </c>
      <c r="H638" s="2">
        <v>264.25</v>
      </c>
      <c r="I638" s="2">
        <f>ROUND(H638-G638, 2)</f>
        <v>0</v>
      </c>
      <c r="J638">
        <f>IF(ABS(I638)&gt;0.01, "Priority 3", "None")</f>
        <v>0</v>
      </c>
    </row>
    <row r="639" spans="1:10">
      <c r="A639" t="s">
        <v>1710</v>
      </c>
      <c r="B639" t="s">
        <v>1541</v>
      </c>
      <c r="C639">
        <v>40</v>
      </c>
      <c r="D639">
        <v>28.5</v>
      </c>
      <c r="E639">
        <f>MAX(ROUNDUP(D639, 0), C639)</f>
        <v>0</v>
      </c>
      <c r="F639" s="2">
        <v>7.55</v>
      </c>
      <c r="G639" s="2">
        <f>E639*F639</f>
        <v>0</v>
      </c>
      <c r="H639" s="2">
        <v>302</v>
      </c>
      <c r="I639" s="2">
        <f>ROUND(H639-G639, 2)</f>
        <v>0</v>
      </c>
      <c r="J639">
        <f>IF(ABS(I639)&gt;0.01, "Priority 3", "None")</f>
        <v>0</v>
      </c>
    </row>
    <row r="640" spans="1:10">
      <c r="A640" t="s">
        <v>1711</v>
      </c>
      <c r="B640" t="s">
        <v>1541</v>
      </c>
      <c r="C640">
        <v>60</v>
      </c>
      <c r="D640">
        <v>49.9</v>
      </c>
      <c r="E640">
        <f>MAX(ROUNDUP(D640, 0), C640)</f>
        <v>0</v>
      </c>
      <c r="F640" s="2">
        <v>7.55</v>
      </c>
      <c r="G640" s="2">
        <f>E640*F640</f>
        <v>0</v>
      </c>
      <c r="H640" s="2">
        <v>453</v>
      </c>
      <c r="I640" s="2">
        <f>ROUND(H640-G640, 2)</f>
        <v>0</v>
      </c>
      <c r="J640">
        <f>IF(ABS(I640)&gt;0.01, "Priority 3", "None")</f>
        <v>0</v>
      </c>
    </row>
    <row r="641" spans="1:10">
      <c r="A641" t="s">
        <v>1712</v>
      </c>
      <c r="B641" t="s">
        <v>1541</v>
      </c>
      <c r="C641">
        <v>32</v>
      </c>
      <c r="D641">
        <v>54.2</v>
      </c>
      <c r="E641">
        <f>MAX(ROUNDUP(D641, 0), C641)</f>
        <v>0</v>
      </c>
      <c r="F641" s="2">
        <v>7.55</v>
      </c>
      <c r="G641" s="2">
        <f>E641*F641</f>
        <v>0</v>
      </c>
      <c r="H641" s="2">
        <v>415.25</v>
      </c>
      <c r="I641" s="2">
        <f>ROUND(H641-G641, 2)</f>
        <v>0</v>
      </c>
      <c r="J641">
        <f>IF(ABS(I641)&gt;0.01, "Priority 3", "None")</f>
        <v>0</v>
      </c>
    </row>
    <row r="642" spans="1:10">
      <c r="A642" t="s">
        <v>1713</v>
      </c>
      <c r="B642" t="s">
        <v>1541</v>
      </c>
      <c r="C642">
        <v>28</v>
      </c>
      <c r="D642">
        <v>37.9</v>
      </c>
      <c r="E642">
        <f>MAX(ROUNDUP(D642, 0), C642)</f>
        <v>0</v>
      </c>
      <c r="F642" s="2">
        <v>7.55</v>
      </c>
      <c r="G642" s="2">
        <f>E642*F642</f>
        <v>0</v>
      </c>
      <c r="H642" s="2">
        <v>286.9</v>
      </c>
      <c r="I642" s="2">
        <f>ROUND(H642-G642, 2)</f>
        <v>0</v>
      </c>
      <c r="J642">
        <f>IF(ABS(I642)&gt;0.01, "Priority 3", "None")</f>
        <v>0</v>
      </c>
    </row>
    <row r="643" spans="1:10">
      <c r="A643" t="s">
        <v>1714</v>
      </c>
      <c r="B643" t="s">
        <v>1541</v>
      </c>
      <c r="C643">
        <v>80</v>
      </c>
      <c r="D643">
        <v>46.8</v>
      </c>
      <c r="E643">
        <f>MAX(ROUNDUP(D643, 0), C643)</f>
        <v>0</v>
      </c>
      <c r="F643" s="2">
        <v>7.55</v>
      </c>
      <c r="G643" s="2">
        <f>E643*F643</f>
        <v>0</v>
      </c>
      <c r="H643" s="2">
        <v>604</v>
      </c>
      <c r="I643" s="2">
        <f>ROUND(H643-G643, 2)</f>
        <v>0</v>
      </c>
      <c r="J643">
        <f>IF(ABS(I643)&gt;0.01, "Priority 3", "None")</f>
        <v>0</v>
      </c>
    </row>
    <row r="644" spans="1:10">
      <c r="A644" t="s">
        <v>1715</v>
      </c>
      <c r="B644" t="s">
        <v>1541</v>
      </c>
      <c r="C644">
        <v>24</v>
      </c>
      <c r="D644">
        <v>26.2</v>
      </c>
      <c r="E644">
        <f>MAX(ROUNDUP(D644, 0), C644)</f>
        <v>0</v>
      </c>
      <c r="F644" s="2">
        <v>7.55</v>
      </c>
      <c r="G644" s="2">
        <f>E644*F644</f>
        <v>0</v>
      </c>
      <c r="H644" s="2">
        <v>203.85</v>
      </c>
      <c r="I644" s="2">
        <f>ROUND(H644-G644, 2)</f>
        <v>0</v>
      </c>
      <c r="J644">
        <f>IF(ABS(I644)&gt;0.01, "Priority 3", "None")</f>
        <v>0</v>
      </c>
    </row>
    <row r="645" spans="1:10">
      <c r="A645" t="s">
        <v>1716</v>
      </c>
      <c r="B645" t="s">
        <v>1541</v>
      </c>
      <c r="C645">
        <v>45</v>
      </c>
      <c r="D645">
        <v>38.3</v>
      </c>
      <c r="E645">
        <f>MAX(ROUNDUP(D645, 0), C645)</f>
        <v>0</v>
      </c>
      <c r="F645" s="2">
        <v>7.55</v>
      </c>
      <c r="G645" s="2">
        <f>E645*F645</f>
        <v>0</v>
      </c>
      <c r="H645" s="2">
        <v>339.75</v>
      </c>
      <c r="I645" s="2">
        <f>ROUND(H645-G645, 2)</f>
        <v>0</v>
      </c>
      <c r="J645">
        <f>IF(ABS(I645)&gt;0.01, "Priority 3", "None")</f>
        <v>0</v>
      </c>
    </row>
    <row r="646" spans="1:10">
      <c r="A646" t="s">
        <v>1717</v>
      </c>
      <c r="B646" t="s">
        <v>1541</v>
      </c>
      <c r="C646">
        <v>45</v>
      </c>
      <c r="D646">
        <v>47</v>
      </c>
      <c r="E646">
        <f>MAX(ROUNDUP(D646, 0), C646)</f>
        <v>0</v>
      </c>
      <c r="F646" s="2">
        <v>7.55</v>
      </c>
      <c r="G646" s="2">
        <f>E646*F646</f>
        <v>0</v>
      </c>
      <c r="H646" s="2">
        <v>354.85</v>
      </c>
      <c r="I646" s="2">
        <f>ROUND(H646-G646, 2)</f>
        <v>0</v>
      </c>
      <c r="J646">
        <f>IF(ABS(I646)&gt;0.01, "Priority 3", "None")</f>
        <v>0</v>
      </c>
    </row>
    <row r="647" spans="1:10">
      <c r="A647" t="s">
        <v>1718</v>
      </c>
      <c r="B647" t="s">
        <v>1541</v>
      </c>
      <c r="C647">
        <v>80</v>
      </c>
      <c r="D647">
        <v>58.9</v>
      </c>
      <c r="E647">
        <f>MAX(ROUNDUP(D647, 0), C647)</f>
        <v>0</v>
      </c>
      <c r="F647" s="2">
        <v>7.55</v>
      </c>
      <c r="G647" s="2">
        <f>E647*F647</f>
        <v>0</v>
      </c>
      <c r="H647" s="2">
        <v>604</v>
      </c>
      <c r="I647" s="2">
        <f>ROUND(H647-G647, 2)</f>
        <v>0</v>
      </c>
      <c r="J647">
        <f>IF(ABS(I647)&gt;0.01, "Priority 3", "None")</f>
        <v>0</v>
      </c>
    </row>
    <row r="648" spans="1:10">
      <c r="A648" t="s">
        <v>1719</v>
      </c>
      <c r="B648" t="s">
        <v>1541</v>
      </c>
      <c r="C648">
        <v>40</v>
      </c>
      <c r="D648">
        <v>52</v>
      </c>
      <c r="E648">
        <f>MAX(ROUNDUP(D648, 0), C648)</f>
        <v>0</v>
      </c>
      <c r="F648" s="2">
        <v>7.55</v>
      </c>
      <c r="G648" s="2">
        <f>E648*F648</f>
        <v>0</v>
      </c>
      <c r="H648" s="2">
        <v>392.6</v>
      </c>
      <c r="I648" s="2">
        <f>ROUND(H648-G648, 2)</f>
        <v>0</v>
      </c>
      <c r="J648">
        <f>IF(ABS(I648)&gt;0.01, "Priority 3", "None")</f>
        <v>0</v>
      </c>
    </row>
    <row r="649" spans="1:10">
      <c r="A649" t="s">
        <v>1720</v>
      </c>
      <c r="B649" t="s">
        <v>1541</v>
      </c>
      <c r="C649">
        <v>40</v>
      </c>
      <c r="D649">
        <v>34.8</v>
      </c>
      <c r="E649">
        <f>MAX(ROUNDUP(D649, 0), C649)</f>
        <v>0</v>
      </c>
      <c r="F649" s="2">
        <v>7.55</v>
      </c>
      <c r="G649" s="2">
        <f>E649*F649</f>
        <v>0</v>
      </c>
      <c r="H649" s="2">
        <v>302</v>
      </c>
      <c r="I649" s="2">
        <f>ROUND(H649-G649, 2)</f>
        <v>0</v>
      </c>
      <c r="J649">
        <f>IF(ABS(I649)&gt;0.01, "Priority 3", "None")</f>
        <v>0</v>
      </c>
    </row>
    <row r="650" spans="1:10">
      <c r="A650" t="s">
        <v>1721</v>
      </c>
      <c r="B650" t="s">
        <v>1541</v>
      </c>
      <c r="C650">
        <v>45</v>
      </c>
      <c r="D650">
        <v>24.6</v>
      </c>
      <c r="E650">
        <f>MAX(ROUNDUP(D650, 0), C650)</f>
        <v>0</v>
      </c>
      <c r="F650" s="2">
        <v>7.55</v>
      </c>
      <c r="G650" s="2">
        <f>E650*F650</f>
        <v>0</v>
      </c>
      <c r="H650" s="2">
        <v>339.75</v>
      </c>
      <c r="I650" s="2">
        <f>ROUND(H650-G650, 2)</f>
        <v>0</v>
      </c>
      <c r="J650">
        <f>IF(ABS(I650)&gt;0.01, "Priority 3", "None")</f>
        <v>0</v>
      </c>
    </row>
    <row r="651" spans="1:10">
      <c r="A651" t="s">
        <v>1722</v>
      </c>
      <c r="B651" t="s">
        <v>1541</v>
      </c>
      <c r="C651">
        <v>70</v>
      </c>
      <c r="D651">
        <v>53.7</v>
      </c>
      <c r="E651">
        <f>MAX(ROUNDUP(D651, 0), C651)</f>
        <v>0</v>
      </c>
      <c r="F651" s="2">
        <v>7.55</v>
      </c>
      <c r="G651" s="2">
        <f>E651*F651</f>
        <v>0</v>
      </c>
      <c r="H651" s="2">
        <v>528.5</v>
      </c>
      <c r="I651" s="2">
        <f>ROUND(H651-G651, 2)</f>
        <v>0</v>
      </c>
      <c r="J651">
        <f>IF(ABS(I651)&gt;0.01, "Priority 3", "None")</f>
        <v>0</v>
      </c>
    </row>
    <row r="652" spans="1:10">
      <c r="A652" t="s">
        <v>1723</v>
      </c>
      <c r="B652" t="s">
        <v>1541</v>
      </c>
      <c r="C652">
        <v>60</v>
      </c>
      <c r="D652">
        <v>24</v>
      </c>
      <c r="E652">
        <f>MAX(ROUNDUP(D652, 0), C652)</f>
        <v>0</v>
      </c>
      <c r="F652" s="2">
        <v>7.55</v>
      </c>
      <c r="G652" s="2">
        <f>E652*F652</f>
        <v>0</v>
      </c>
      <c r="H652" s="2">
        <v>453</v>
      </c>
      <c r="I652" s="2">
        <f>ROUND(H652-G652, 2)</f>
        <v>0</v>
      </c>
      <c r="J652">
        <f>IF(ABS(I652)&gt;0.01, "Priority 3", "None")</f>
        <v>0</v>
      </c>
    </row>
    <row r="653" spans="1:10">
      <c r="A653" t="s">
        <v>1724</v>
      </c>
      <c r="B653" t="s">
        <v>1541</v>
      </c>
      <c r="C653">
        <v>70</v>
      </c>
      <c r="D653">
        <v>47.4</v>
      </c>
      <c r="E653">
        <f>MAX(ROUNDUP(D653, 0), C653)</f>
        <v>0</v>
      </c>
      <c r="F653" s="2">
        <v>7.55</v>
      </c>
      <c r="G653" s="2">
        <f>E653*F653</f>
        <v>0</v>
      </c>
      <c r="H653" s="2">
        <v>528.5</v>
      </c>
      <c r="I653" s="2">
        <f>ROUND(H653-G653, 2)</f>
        <v>0</v>
      </c>
      <c r="J653">
        <f>IF(ABS(I653)&gt;0.01, "Priority 3", "None")</f>
        <v>0</v>
      </c>
    </row>
    <row r="654" spans="1:10">
      <c r="A654" t="s">
        <v>1725</v>
      </c>
      <c r="B654" t="s">
        <v>1541</v>
      </c>
      <c r="C654">
        <v>32</v>
      </c>
      <c r="D654">
        <v>47.2</v>
      </c>
      <c r="E654">
        <f>MAX(ROUNDUP(D654, 0), C654)</f>
        <v>0</v>
      </c>
      <c r="F654" s="2">
        <v>7.55</v>
      </c>
      <c r="G654" s="2">
        <f>E654*F654</f>
        <v>0</v>
      </c>
      <c r="H654" s="2">
        <v>362.4</v>
      </c>
      <c r="I654" s="2">
        <f>ROUND(H654-G654, 2)</f>
        <v>0</v>
      </c>
      <c r="J654">
        <f>IF(ABS(I654)&gt;0.01, "Priority 3", "None")</f>
        <v>0</v>
      </c>
    </row>
    <row r="655" spans="1:10">
      <c r="A655" t="s">
        <v>1726</v>
      </c>
      <c r="B655" t="s">
        <v>1541</v>
      </c>
      <c r="C655">
        <v>28</v>
      </c>
      <c r="D655">
        <v>25.3</v>
      </c>
      <c r="E655">
        <f>MAX(ROUNDUP(D655, 0), C655)</f>
        <v>0</v>
      </c>
      <c r="F655" s="2">
        <v>7.55</v>
      </c>
      <c r="G655" s="2">
        <f>E655*F655</f>
        <v>0</v>
      </c>
      <c r="H655" s="2">
        <v>211.4</v>
      </c>
      <c r="I655" s="2">
        <f>ROUND(H655-G655, 2)</f>
        <v>0</v>
      </c>
      <c r="J655">
        <f>IF(ABS(I655)&gt;0.01, "Priority 3", "None")</f>
        <v>0</v>
      </c>
    </row>
    <row r="656" spans="1:10">
      <c r="A656" t="s">
        <v>1727</v>
      </c>
      <c r="B656" t="s">
        <v>1541</v>
      </c>
      <c r="C656">
        <v>50</v>
      </c>
      <c r="D656">
        <v>49.5</v>
      </c>
      <c r="E656">
        <f>MAX(ROUNDUP(D656, 0), C656)</f>
        <v>0</v>
      </c>
      <c r="F656" s="2">
        <v>7.55</v>
      </c>
      <c r="G656" s="2">
        <f>E656*F656</f>
        <v>0</v>
      </c>
      <c r="H656" s="2">
        <v>377.5</v>
      </c>
      <c r="I656" s="2">
        <f>ROUND(H656-G656, 2)</f>
        <v>0</v>
      </c>
      <c r="J656">
        <f>IF(ABS(I656)&gt;0.01, "Priority 3", "None")</f>
        <v>0</v>
      </c>
    </row>
    <row r="657" spans="1:10">
      <c r="A657" t="s">
        <v>1728</v>
      </c>
      <c r="B657" t="s">
        <v>1541</v>
      </c>
      <c r="C657">
        <v>24</v>
      </c>
      <c r="D657">
        <v>53.1</v>
      </c>
      <c r="E657">
        <f>MAX(ROUNDUP(D657, 0), C657)</f>
        <v>0</v>
      </c>
      <c r="F657" s="2">
        <v>7.55</v>
      </c>
      <c r="G657" s="2">
        <f>E657*F657</f>
        <v>0</v>
      </c>
      <c r="H657" s="2">
        <v>407.7</v>
      </c>
      <c r="I657" s="2">
        <f>ROUND(H657-G657, 2)</f>
        <v>0</v>
      </c>
      <c r="J657">
        <f>IF(ABS(I657)&gt;0.01, "Priority 3", "None")</f>
        <v>0</v>
      </c>
    </row>
    <row r="658" spans="1:10">
      <c r="A658" t="s">
        <v>1729</v>
      </c>
      <c r="B658" t="s">
        <v>1541</v>
      </c>
      <c r="C658">
        <v>24</v>
      </c>
      <c r="D658">
        <v>48.6</v>
      </c>
      <c r="E658">
        <f>MAX(ROUNDUP(D658, 0), C658)</f>
        <v>0</v>
      </c>
      <c r="F658" s="2">
        <v>7.55</v>
      </c>
      <c r="G658" s="2">
        <f>E658*F658</f>
        <v>0</v>
      </c>
      <c r="H658" s="2">
        <v>369.95</v>
      </c>
      <c r="I658" s="2">
        <f>ROUND(H658-G658, 2)</f>
        <v>0</v>
      </c>
      <c r="J658">
        <f>IF(ABS(I658)&gt;0.01, "Priority 3", "None")</f>
        <v>0</v>
      </c>
    </row>
    <row r="659" spans="1:10">
      <c r="A659" t="s">
        <v>1730</v>
      </c>
      <c r="B659" t="s">
        <v>1541</v>
      </c>
      <c r="C659">
        <v>24</v>
      </c>
      <c r="D659">
        <v>29.8</v>
      </c>
      <c r="E659">
        <f>MAX(ROUNDUP(D659, 0), C659)</f>
        <v>0</v>
      </c>
      <c r="F659" s="2">
        <v>7.55</v>
      </c>
      <c r="G659" s="2">
        <f>E659*F659</f>
        <v>0</v>
      </c>
      <c r="H659" s="2">
        <v>226.5</v>
      </c>
      <c r="I659" s="2">
        <f>ROUND(H659-G659, 2)</f>
        <v>0</v>
      </c>
      <c r="J659">
        <f>IF(ABS(I659)&gt;0.01, "Priority 3", "None")</f>
        <v>0</v>
      </c>
    </row>
    <row r="660" spans="1:10">
      <c r="A660" t="s">
        <v>1731</v>
      </c>
      <c r="B660" t="s">
        <v>1541</v>
      </c>
      <c r="C660">
        <v>28</v>
      </c>
      <c r="D660">
        <v>61.3</v>
      </c>
      <c r="E660">
        <f>MAX(ROUNDUP(D660, 0), C660)</f>
        <v>0</v>
      </c>
      <c r="F660" s="2">
        <v>7.55</v>
      </c>
      <c r="G660" s="2">
        <f>E660*F660</f>
        <v>0</v>
      </c>
      <c r="H660" s="2">
        <v>468.1</v>
      </c>
      <c r="I660" s="2">
        <f>ROUND(H660-G660, 2)</f>
        <v>0</v>
      </c>
      <c r="J660">
        <f>IF(ABS(I660)&gt;0.01, "Priority 3", "None")</f>
        <v>0</v>
      </c>
    </row>
    <row r="661" spans="1:10">
      <c r="A661" t="s">
        <v>1732</v>
      </c>
      <c r="B661" t="s">
        <v>1541</v>
      </c>
      <c r="C661">
        <v>40</v>
      </c>
      <c r="D661">
        <v>51.4</v>
      </c>
      <c r="E661">
        <f>MAX(ROUNDUP(D661, 0), C661)</f>
        <v>0</v>
      </c>
      <c r="F661" s="2">
        <v>7.55</v>
      </c>
      <c r="G661" s="2">
        <f>E661*F661</f>
        <v>0</v>
      </c>
      <c r="H661" s="2">
        <v>392.6</v>
      </c>
      <c r="I661" s="2">
        <f>ROUND(H661-G661, 2)</f>
        <v>0</v>
      </c>
      <c r="J661">
        <f>IF(ABS(I661)&gt;0.01, "Priority 3", "None")</f>
        <v>0</v>
      </c>
    </row>
    <row r="662" spans="1:10">
      <c r="A662" t="s">
        <v>1733</v>
      </c>
      <c r="B662" t="s">
        <v>1541</v>
      </c>
      <c r="C662">
        <v>32</v>
      </c>
      <c r="D662">
        <v>61.9</v>
      </c>
      <c r="E662">
        <f>MAX(ROUNDUP(D662, 0), C662)</f>
        <v>0</v>
      </c>
      <c r="F662" s="2">
        <v>7.55</v>
      </c>
      <c r="G662" s="2">
        <f>E662*F662</f>
        <v>0</v>
      </c>
      <c r="H662" s="2">
        <v>468.1</v>
      </c>
      <c r="I662" s="2">
        <f>ROUND(H662-G662, 2)</f>
        <v>0</v>
      </c>
      <c r="J662">
        <f>IF(ABS(I662)&gt;0.01, "Priority 3", "None")</f>
        <v>0</v>
      </c>
    </row>
    <row r="663" spans="1:10">
      <c r="A663" t="s">
        <v>1734</v>
      </c>
      <c r="B663" t="s">
        <v>1541</v>
      </c>
      <c r="C663">
        <v>28</v>
      </c>
      <c r="D663">
        <v>26.2</v>
      </c>
      <c r="E663">
        <f>MAX(ROUNDUP(D663, 0), C663)</f>
        <v>0</v>
      </c>
      <c r="F663" s="2">
        <v>7.55</v>
      </c>
      <c r="G663" s="2">
        <f>E663*F663</f>
        <v>0</v>
      </c>
      <c r="H663" s="2">
        <v>211.4</v>
      </c>
      <c r="I663" s="2">
        <f>ROUND(H663-G663, 2)</f>
        <v>0</v>
      </c>
      <c r="J663">
        <f>IF(ABS(I663)&gt;0.01, "Priority 3", "None")</f>
        <v>0</v>
      </c>
    </row>
    <row r="664" spans="1:10">
      <c r="A664" t="s">
        <v>1735</v>
      </c>
      <c r="B664" t="s">
        <v>1541</v>
      </c>
      <c r="C664">
        <v>32</v>
      </c>
      <c r="D664">
        <v>40.6</v>
      </c>
      <c r="E664">
        <f>MAX(ROUNDUP(D664, 0), C664)</f>
        <v>0</v>
      </c>
      <c r="F664" s="2">
        <v>7.55</v>
      </c>
      <c r="G664" s="2">
        <f>E664*F664</f>
        <v>0</v>
      </c>
      <c r="H664" s="2">
        <v>309.55</v>
      </c>
      <c r="I664" s="2">
        <f>ROUND(H664-G664, 2)</f>
        <v>0</v>
      </c>
      <c r="J664">
        <f>IF(ABS(I664)&gt;0.01, "Priority 3", "None")</f>
        <v>0</v>
      </c>
    </row>
    <row r="665" spans="1:10">
      <c r="A665" t="s">
        <v>1736</v>
      </c>
      <c r="B665" t="s">
        <v>1541</v>
      </c>
      <c r="C665">
        <v>45</v>
      </c>
      <c r="D665">
        <v>59.5</v>
      </c>
      <c r="E665">
        <f>MAX(ROUNDUP(D665, 0), C665)</f>
        <v>0</v>
      </c>
      <c r="F665" s="2">
        <v>7.55</v>
      </c>
      <c r="G665" s="2">
        <f>E665*F665</f>
        <v>0</v>
      </c>
      <c r="H665" s="2">
        <v>453</v>
      </c>
      <c r="I665" s="2">
        <f>ROUND(H665-G665, 2)</f>
        <v>0</v>
      </c>
      <c r="J665">
        <f>IF(ABS(I665)&gt;0.01, "Priority 3", "None")</f>
        <v>0</v>
      </c>
    </row>
    <row r="666" spans="1:10">
      <c r="A666" t="s">
        <v>1737</v>
      </c>
      <c r="B666" t="s">
        <v>1541</v>
      </c>
      <c r="C666">
        <v>28</v>
      </c>
      <c r="D666">
        <v>26.7</v>
      </c>
      <c r="E666">
        <f>MAX(ROUNDUP(D666, 0), C666)</f>
        <v>0</v>
      </c>
      <c r="F666" s="2">
        <v>7.55</v>
      </c>
      <c r="G666" s="2">
        <f>E666*F666</f>
        <v>0</v>
      </c>
      <c r="H666" s="2">
        <v>211.4</v>
      </c>
      <c r="I666" s="2">
        <f>ROUND(H666-G666, 2)</f>
        <v>0</v>
      </c>
      <c r="J666">
        <f>IF(ABS(I666)&gt;0.01, "Priority 3", "None")</f>
        <v>0</v>
      </c>
    </row>
    <row r="667" spans="1:10">
      <c r="A667" t="s">
        <v>1738</v>
      </c>
      <c r="B667" t="s">
        <v>1541</v>
      </c>
      <c r="C667">
        <v>40</v>
      </c>
      <c r="D667">
        <v>34.4</v>
      </c>
      <c r="E667">
        <f>MAX(ROUNDUP(D667, 0), C667)</f>
        <v>0</v>
      </c>
      <c r="F667" s="2">
        <v>7.55</v>
      </c>
      <c r="G667" s="2">
        <f>E667*F667</f>
        <v>0</v>
      </c>
      <c r="H667" s="2">
        <v>302</v>
      </c>
      <c r="I667" s="2">
        <f>ROUND(H667-G667, 2)</f>
        <v>0</v>
      </c>
      <c r="J667">
        <f>IF(ABS(I667)&gt;0.01, "Priority 3", "None")</f>
        <v>0</v>
      </c>
    </row>
    <row r="668" spans="1:10">
      <c r="A668" t="s">
        <v>1739</v>
      </c>
      <c r="B668" t="s">
        <v>1541</v>
      </c>
      <c r="C668">
        <v>32</v>
      </c>
      <c r="D668">
        <v>26.5</v>
      </c>
      <c r="E668">
        <f>MAX(ROUNDUP(D668, 0), C668)</f>
        <v>0</v>
      </c>
      <c r="F668" s="2">
        <v>7.55</v>
      </c>
      <c r="G668" s="2">
        <f>E668*F668</f>
        <v>0</v>
      </c>
      <c r="H668" s="2">
        <v>241.6</v>
      </c>
      <c r="I668" s="2">
        <f>ROUND(H668-G668, 2)</f>
        <v>0</v>
      </c>
      <c r="J668">
        <f>IF(ABS(I668)&gt;0.01, "Priority 3", "None")</f>
        <v>0</v>
      </c>
    </row>
    <row r="669" spans="1:10">
      <c r="A669" t="s">
        <v>1740</v>
      </c>
      <c r="B669" t="s">
        <v>1541</v>
      </c>
      <c r="C669">
        <v>32</v>
      </c>
      <c r="D669">
        <v>53.6</v>
      </c>
      <c r="E669">
        <f>MAX(ROUNDUP(D669, 0), C669)</f>
        <v>0</v>
      </c>
      <c r="F669" s="2">
        <v>7.55</v>
      </c>
      <c r="G669" s="2">
        <f>E669*F669</f>
        <v>0</v>
      </c>
      <c r="H669" s="2">
        <v>407.7</v>
      </c>
      <c r="I669" s="2">
        <f>ROUND(H669-G669, 2)</f>
        <v>0</v>
      </c>
      <c r="J669">
        <f>IF(ABS(I669)&gt;0.01, "Priority 3", "None")</f>
        <v>0</v>
      </c>
    </row>
    <row r="670" spans="1:10">
      <c r="A670" t="s">
        <v>1741</v>
      </c>
      <c r="B670" t="s">
        <v>1541</v>
      </c>
      <c r="C670">
        <v>50</v>
      </c>
      <c r="D670">
        <v>19.8</v>
      </c>
      <c r="E670">
        <f>MAX(ROUNDUP(D670, 0), C670)</f>
        <v>0</v>
      </c>
      <c r="F670" s="2">
        <v>7.55</v>
      </c>
      <c r="G670" s="2">
        <f>E670*F670</f>
        <v>0</v>
      </c>
      <c r="H670" s="2">
        <v>377.5</v>
      </c>
      <c r="I670" s="2">
        <f>ROUND(H670-G670, 2)</f>
        <v>0</v>
      </c>
      <c r="J670">
        <f>IF(ABS(I670)&gt;0.01, "Priority 3", "None")</f>
        <v>0</v>
      </c>
    </row>
    <row r="671" spans="1:10">
      <c r="A671" t="s">
        <v>1742</v>
      </c>
      <c r="B671" t="s">
        <v>1541</v>
      </c>
      <c r="C671">
        <v>32</v>
      </c>
      <c r="D671">
        <v>44.2</v>
      </c>
      <c r="E671">
        <f>MAX(ROUNDUP(D671, 0), C671)</f>
        <v>0</v>
      </c>
      <c r="F671" s="2">
        <v>7.55</v>
      </c>
      <c r="G671" s="2">
        <f>E671*F671</f>
        <v>0</v>
      </c>
      <c r="H671" s="2">
        <v>339.75</v>
      </c>
      <c r="I671" s="2">
        <f>ROUND(H671-G671, 2)</f>
        <v>0</v>
      </c>
      <c r="J671">
        <f>IF(ABS(I671)&gt;0.01, "Priority 3", "None")</f>
        <v>0</v>
      </c>
    </row>
    <row r="672" spans="1:10">
      <c r="A672" t="s">
        <v>1743</v>
      </c>
      <c r="B672" t="s">
        <v>1541</v>
      </c>
      <c r="C672">
        <v>32</v>
      </c>
      <c r="D672">
        <v>40.1</v>
      </c>
      <c r="E672">
        <f>MAX(ROUNDUP(D672, 0), C672)</f>
        <v>0</v>
      </c>
      <c r="F672" s="2">
        <v>7.55</v>
      </c>
      <c r="G672" s="2">
        <f>E672*F672</f>
        <v>0</v>
      </c>
      <c r="H672" s="2">
        <v>309.55</v>
      </c>
      <c r="I672" s="2">
        <f>ROUND(H672-G672, 2)</f>
        <v>0</v>
      </c>
      <c r="J672">
        <f>IF(ABS(I672)&gt;0.01, "Priority 3", "None")</f>
        <v>0</v>
      </c>
    </row>
    <row r="673" spans="1:10">
      <c r="A673" t="s">
        <v>1744</v>
      </c>
      <c r="B673" t="s">
        <v>1541</v>
      </c>
      <c r="C673">
        <v>45</v>
      </c>
      <c r="D673">
        <v>53</v>
      </c>
      <c r="E673">
        <f>MAX(ROUNDUP(D673, 0), C673)</f>
        <v>0</v>
      </c>
      <c r="F673" s="2">
        <v>7.55</v>
      </c>
      <c r="G673" s="2">
        <f>E673*F673</f>
        <v>0</v>
      </c>
      <c r="H673" s="2">
        <v>400.15</v>
      </c>
      <c r="I673" s="2">
        <f>ROUND(H673-G673, 2)</f>
        <v>0</v>
      </c>
      <c r="J673">
        <f>IF(ABS(I673)&gt;0.01, "Priority 3", "None")</f>
        <v>0</v>
      </c>
    </row>
    <row r="674" spans="1:10">
      <c r="A674" t="s">
        <v>1745</v>
      </c>
      <c r="B674" t="s">
        <v>1541</v>
      </c>
      <c r="C674">
        <v>40</v>
      </c>
      <c r="D674">
        <v>21.2</v>
      </c>
      <c r="E674">
        <f>MAX(ROUNDUP(D674, 0), C674)</f>
        <v>0</v>
      </c>
      <c r="F674" s="2">
        <v>7.55</v>
      </c>
      <c r="G674" s="2">
        <f>E674*F674</f>
        <v>0</v>
      </c>
      <c r="H674" s="2">
        <v>302</v>
      </c>
      <c r="I674" s="2">
        <f>ROUND(H674-G674, 2)</f>
        <v>0</v>
      </c>
      <c r="J674">
        <f>IF(ABS(I674)&gt;0.01, "Priority 3", "None")</f>
        <v>0</v>
      </c>
    </row>
    <row r="675" spans="1:10">
      <c r="A675" t="s">
        <v>1746</v>
      </c>
      <c r="B675" t="s">
        <v>1541</v>
      </c>
      <c r="C675">
        <v>40</v>
      </c>
      <c r="D675">
        <v>34.4</v>
      </c>
      <c r="E675">
        <f>MAX(ROUNDUP(D675, 0), C675)</f>
        <v>0</v>
      </c>
      <c r="F675" s="2">
        <v>7.55</v>
      </c>
      <c r="G675" s="2">
        <f>E675*F675</f>
        <v>0</v>
      </c>
      <c r="H675" s="2">
        <v>302</v>
      </c>
      <c r="I675" s="2">
        <f>ROUND(H675-G675, 2)</f>
        <v>0</v>
      </c>
      <c r="J675">
        <f>IF(ABS(I675)&gt;0.01, "Priority 3", "None")</f>
        <v>0</v>
      </c>
    </row>
    <row r="676" spans="1:10">
      <c r="A676" t="s">
        <v>1747</v>
      </c>
      <c r="B676" t="s">
        <v>1541</v>
      </c>
      <c r="C676">
        <v>24</v>
      </c>
      <c r="D676">
        <v>20.7</v>
      </c>
      <c r="E676">
        <f>MAX(ROUNDUP(D676, 0), C676)</f>
        <v>0</v>
      </c>
      <c r="F676" s="2">
        <v>7.55</v>
      </c>
      <c r="G676" s="2">
        <f>E676*F676</f>
        <v>0</v>
      </c>
      <c r="H676" s="2">
        <v>181.2</v>
      </c>
      <c r="I676" s="2">
        <f>ROUND(H676-G676, 2)</f>
        <v>0</v>
      </c>
      <c r="J676">
        <f>IF(ABS(I676)&gt;0.01, "Priority 3", "None")</f>
        <v>0</v>
      </c>
    </row>
    <row r="677" spans="1:10">
      <c r="A677" t="s">
        <v>1748</v>
      </c>
      <c r="B677" t="s">
        <v>1541</v>
      </c>
      <c r="C677">
        <v>28</v>
      </c>
      <c r="D677">
        <v>55.1</v>
      </c>
      <c r="E677">
        <f>MAX(ROUNDUP(D677, 0), C677)</f>
        <v>0</v>
      </c>
      <c r="F677" s="2">
        <v>7.55</v>
      </c>
      <c r="G677" s="2">
        <f>E677*F677</f>
        <v>0</v>
      </c>
      <c r="H677" s="2">
        <v>422.8</v>
      </c>
      <c r="I677" s="2">
        <f>ROUND(H677-G677, 2)</f>
        <v>0</v>
      </c>
      <c r="J677">
        <f>IF(ABS(I677)&gt;0.01, "Priority 3", "None")</f>
        <v>0</v>
      </c>
    </row>
    <row r="678" spans="1:10">
      <c r="A678" t="s">
        <v>1749</v>
      </c>
      <c r="B678" t="s">
        <v>1541</v>
      </c>
      <c r="C678">
        <v>32</v>
      </c>
      <c r="D678">
        <v>61.8</v>
      </c>
      <c r="E678">
        <f>MAX(ROUNDUP(D678, 0), C678)</f>
        <v>0</v>
      </c>
      <c r="F678" s="2">
        <v>7.55</v>
      </c>
      <c r="G678" s="2">
        <f>E678*F678</f>
        <v>0</v>
      </c>
      <c r="H678" s="2">
        <v>468.1</v>
      </c>
      <c r="I678" s="2">
        <f>ROUND(H678-G678, 2)</f>
        <v>0</v>
      </c>
      <c r="J678">
        <f>IF(ABS(I678)&gt;0.01, "Priority 3", "None")</f>
        <v>0</v>
      </c>
    </row>
    <row r="679" spans="1:10">
      <c r="A679" t="s">
        <v>1750</v>
      </c>
      <c r="B679" t="s">
        <v>1541</v>
      </c>
      <c r="C679">
        <v>28</v>
      </c>
      <c r="D679">
        <v>60.8</v>
      </c>
      <c r="E679">
        <f>MAX(ROUNDUP(D679, 0), C679)</f>
        <v>0</v>
      </c>
      <c r="F679" s="2">
        <v>7.55</v>
      </c>
      <c r="G679" s="2">
        <f>E679*F679</f>
        <v>0</v>
      </c>
      <c r="H679" s="2">
        <v>460.55</v>
      </c>
      <c r="I679" s="2">
        <f>ROUND(H679-G679, 2)</f>
        <v>0</v>
      </c>
      <c r="J679">
        <f>IF(ABS(I679)&gt;0.01, "Priority 3", "None")</f>
        <v>0</v>
      </c>
    </row>
    <row r="680" spans="1:10">
      <c r="A680" t="s">
        <v>1751</v>
      </c>
      <c r="B680" t="s">
        <v>1541</v>
      </c>
      <c r="C680">
        <v>45</v>
      </c>
      <c r="D680">
        <v>50.6</v>
      </c>
      <c r="E680">
        <f>MAX(ROUNDUP(D680, 0), C680)</f>
        <v>0</v>
      </c>
      <c r="F680" s="2">
        <v>7.55</v>
      </c>
      <c r="G680" s="2">
        <f>E680*F680</f>
        <v>0</v>
      </c>
      <c r="H680" s="2">
        <v>385.05</v>
      </c>
      <c r="I680" s="2">
        <f>ROUND(H680-G680, 2)</f>
        <v>0</v>
      </c>
      <c r="J680">
        <f>IF(ABS(I680)&gt;0.01, "Priority 3", "None")</f>
        <v>0</v>
      </c>
    </row>
    <row r="681" spans="1:10">
      <c r="A681" t="s">
        <v>1752</v>
      </c>
      <c r="B681" t="s">
        <v>1541</v>
      </c>
      <c r="C681">
        <v>70</v>
      </c>
      <c r="D681">
        <v>57.5</v>
      </c>
      <c r="E681">
        <f>MAX(ROUNDUP(D681, 0), C681)</f>
        <v>0</v>
      </c>
      <c r="F681" s="2">
        <v>7.55</v>
      </c>
      <c r="G681" s="2">
        <f>E681*F681</f>
        <v>0</v>
      </c>
      <c r="H681" s="2">
        <v>528.5</v>
      </c>
      <c r="I681" s="2">
        <f>ROUND(H681-G681, 2)</f>
        <v>0</v>
      </c>
      <c r="J681">
        <f>IF(ABS(I681)&gt;0.01, "Priority 3", "None")</f>
        <v>0</v>
      </c>
    </row>
    <row r="682" spans="1:10">
      <c r="A682" t="s">
        <v>1753</v>
      </c>
      <c r="B682" t="s">
        <v>1541</v>
      </c>
      <c r="C682">
        <v>32</v>
      </c>
      <c r="D682">
        <v>39</v>
      </c>
      <c r="E682">
        <f>MAX(ROUNDUP(D682, 0), C682)</f>
        <v>0</v>
      </c>
      <c r="F682" s="2">
        <v>7.55</v>
      </c>
      <c r="G682" s="2">
        <f>E682*F682</f>
        <v>0</v>
      </c>
      <c r="H682" s="2">
        <v>294.45</v>
      </c>
      <c r="I682" s="2">
        <f>ROUND(H682-G682, 2)</f>
        <v>0</v>
      </c>
      <c r="J682">
        <f>IF(ABS(I682)&gt;0.01, "Priority 3", "None")</f>
        <v>0</v>
      </c>
    </row>
    <row r="683" spans="1:10">
      <c r="A683" t="s">
        <v>1754</v>
      </c>
      <c r="B683" t="s">
        <v>1541</v>
      </c>
      <c r="C683">
        <v>60</v>
      </c>
      <c r="D683">
        <v>26.5</v>
      </c>
      <c r="E683">
        <f>MAX(ROUNDUP(D683, 0), C683)</f>
        <v>0</v>
      </c>
      <c r="F683" s="2">
        <v>7.55</v>
      </c>
      <c r="G683" s="2">
        <f>E683*F683</f>
        <v>0</v>
      </c>
      <c r="H683" s="2">
        <v>453</v>
      </c>
      <c r="I683" s="2">
        <f>ROUND(H683-G683, 2)</f>
        <v>0</v>
      </c>
      <c r="J683">
        <f>IF(ABS(I683)&gt;0.01, "Priority 3", "None")</f>
        <v>0</v>
      </c>
    </row>
    <row r="684" spans="1:10">
      <c r="A684" t="s">
        <v>1755</v>
      </c>
      <c r="B684" t="s">
        <v>1541</v>
      </c>
      <c r="C684">
        <v>24</v>
      </c>
      <c r="D684">
        <v>33.7</v>
      </c>
      <c r="E684">
        <f>MAX(ROUNDUP(D684, 0), C684)</f>
        <v>0</v>
      </c>
      <c r="F684" s="2">
        <v>7.55</v>
      </c>
      <c r="G684" s="2">
        <f>E684*F684</f>
        <v>0</v>
      </c>
      <c r="H684" s="2">
        <v>256.7</v>
      </c>
      <c r="I684" s="2">
        <f>ROUND(H684-G684, 2)</f>
        <v>0</v>
      </c>
      <c r="J684">
        <f>IF(ABS(I684)&gt;0.01, "Priority 3", "None")</f>
        <v>0</v>
      </c>
    </row>
    <row r="685" spans="1:10">
      <c r="A685" t="s">
        <v>1756</v>
      </c>
      <c r="B685" t="s">
        <v>1757</v>
      </c>
      <c r="C685">
        <v>40</v>
      </c>
      <c r="D685">
        <v>43.8</v>
      </c>
      <c r="E685">
        <f>MAX(ROUNDUP(D685, 0), C685)</f>
        <v>0</v>
      </c>
      <c r="F685" s="2">
        <v>7.55</v>
      </c>
      <c r="G685" s="2">
        <f>E685*F685</f>
        <v>0</v>
      </c>
      <c r="H685" s="2">
        <v>332.2</v>
      </c>
      <c r="I685" s="2">
        <f>ROUND(H685-G685, 2)</f>
        <v>0</v>
      </c>
      <c r="J685">
        <f>IF(ABS(I685)&gt;0.01, "Priority 3", "None")</f>
        <v>0</v>
      </c>
    </row>
    <row r="686" spans="1:10">
      <c r="A686" t="s">
        <v>1758</v>
      </c>
      <c r="B686" t="s">
        <v>1757</v>
      </c>
      <c r="C686">
        <v>45</v>
      </c>
      <c r="D686">
        <v>21.9</v>
      </c>
      <c r="E686">
        <f>MAX(ROUNDUP(D686, 0), C686)</f>
        <v>0</v>
      </c>
      <c r="F686" s="2">
        <v>7.55</v>
      </c>
      <c r="G686" s="2">
        <f>E686*F686</f>
        <v>0</v>
      </c>
      <c r="H686" s="2">
        <v>339.75</v>
      </c>
      <c r="I686" s="2">
        <f>ROUND(H686-G686, 2)</f>
        <v>0</v>
      </c>
      <c r="J686">
        <f>IF(ABS(I686)&gt;0.01, "Priority 3", "None")</f>
        <v>0</v>
      </c>
    </row>
    <row r="687" spans="1:10">
      <c r="A687" t="s">
        <v>1759</v>
      </c>
      <c r="B687" t="s">
        <v>1757</v>
      </c>
      <c r="C687">
        <v>40</v>
      </c>
      <c r="D687">
        <v>49.6</v>
      </c>
      <c r="E687">
        <f>MAX(ROUNDUP(D687, 0), C687)</f>
        <v>0</v>
      </c>
      <c r="F687" s="2">
        <v>7.55</v>
      </c>
      <c r="G687" s="2">
        <f>E687*F687</f>
        <v>0</v>
      </c>
      <c r="H687" s="2">
        <v>377.5</v>
      </c>
      <c r="I687" s="2">
        <f>ROUND(H687-G687, 2)</f>
        <v>0</v>
      </c>
      <c r="J687">
        <f>IF(ABS(I687)&gt;0.01, "Priority 3", "None")</f>
        <v>0</v>
      </c>
    </row>
    <row r="688" spans="1:10">
      <c r="A688" t="s">
        <v>1760</v>
      </c>
      <c r="B688" t="s">
        <v>1757</v>
      </c>
      <c r="C688">
        <v>60</v>
      </c>
      <c r="D688">
        <v>35.5</v>
      </c>
      <c r="E688">
        <f>MAX(ROUNDUP(D688, 0), C688)</f>
        <v>0</v>
      </c>
      <c r="F688" s="2">
        <v>7.55</v>
      </c>
      <c r="G688" s="2">
        <f>E688*F688</f>
        <v>0</v>
      </c>
      <c r="H688" s="2">
        <v>453</v>
      </c>
      <c r="I688" s="2">
        <f>ROUND(H688-G688, 2)</f>
        <v>0</v>
      </c>
      <c r="J688">
        <f>IF(ABS(I688)&gt;0.01, "Priority 3", "None")</f>
        <v>0</v>
      </c>
    </row>
    <row r="689" spans="1:10">
      <c r="A689" t="s">
        <v>1761</v>
      </c>
      <c r="B689" t="s">
        <v>1757</v>
      </c>
      <c r="C689">
        <v>80</v>
      </c>
      <c r="D689">
        <v>40.5</v>
      </c>
      <c r="E689">
        <f>MAX(ROUNDUP(D689, 0), C689)</f>
        <v>0</v>
      </c>
      <c r="F689" s="2">
        <v>7.55</v>
      </c>
      <c r="G689" s="2">
        <f>E689*F689</f>
        <v>0</v>
      </c>
      <c r="H689" s="2">
        <v>604</v>
      </c>
      <c r="I689" s="2">
        <f>ROUND(H689-G689, 2)</f>
        <v>0</v>
      </c>
      <c r="J689">
        <f>IF(ABS(I689)&gt;0.01, "Priority 3", "None")</f>
        <v>0</v>
      </c>
    </row>
    <row r="690" spans="1:10">
      <c r="A690" t="s">
        <v>1762</v>
      </c>
      <c r="B690" t="s">
        <v>1757</v>
      </c>
      <c r="C690">
        <v>32</v>
      </c>
      <c r="D690">
        <v>46.9</v>
      </c>
      <c r="E690">
        <f>MAX(ROUNDUP(D690, 0), C690)</f>
        <v>0</v>
      </c>
      <c r="F690" s="2">
        <v>7.55</v>
      </c>
      <c r="G690" s="2">
        <f>E690*F690</f>
        <v>0</v>
      </c>
      <c r="H690" s="2">
        <v>354.85</v>
      </c>
      <c r="I690" s="2">
        <f>ROUND(H690-G690, 2)</f>
        <v>0</v>
      </c>
      <c r="J690">
        <f>IF(ABS(I690)&gt;0.01, "Priority 3", "None")</f>
        <v>0</v>
      </c>
    </row>
    <row r="691" spans="1:10">
      <c r="A691" t="s">
        <v>1763</v>
      </c>
      <c r="B691" t="s">
        <v>1757</v>
      </c>
      <c r="C691">
        <v>28</v>
      </c>
      <c r="D691">
        <v>55</v>
      </c>
      <c r="E691">
        <f>MAX(ROUNDUP(D691, 0), C691)</f>
        <v>0</v>
      </c>
      <c r="F691" s="2">
        <v>7.55</v>
      </c>
      <c r="G691" s="2">
        <f>E691*F691</f>
        <v>0</v>
      </c>
      <c r="H691" s="2">
        <v>415.25</v>
      </c>
      <c r="I691" s="2">
        <f>ROUND(H691-G691, 2)</f>
        <v>0</v>
      </c>
      <c r="J691">
        <f>IF(ABS(I691)&gt;0.01, "Priority 3", "None")</f>
        <v>0</v>
      </c>
    </row>
    <row r="692" spans="1:10">
      <c r="A692" t="s">
        <v>1764</v>
      </c>
      <c r="B692" t="s">
        <v>1757</v>
      </c>
      <c r="C692">
        <v>80</v>
      </c>
      <c r="D692">
        <v>42.1</v>
      </c>
      <c r="E692">
        <f>MAX(ROUNDUP(D692, 0), C692)</f>
        <v>0</v>
      </c>
      <c r="F692" s="2">
        <v>7.55</v>
      </c>
      <c r="G692" s="2">
        <f>E692*F692</f>
        <v>0</v>
      </c>
      <c r="H692" s="2">
        <v>604</v>
      </c>
      <c r="I692" s="2">
        <f>ROUND(H692-G692, 2)</f>
        <v>0</v>
      </c>
      <c r="J692">
        <f>IF(ABS(I692)&gt;0.01, "Priority 3", "None")</f>
        <v>0</v>
      </c>
    </row>
    <row r="693" spans="1:10">
      <c r="A693" t="s">
        <v>1765</v>
      </c>
      <c r="B693" t="s">
        <v>1757</v>
      </c>
      <c r="C693">
        <v>28</v>
      </c>
      <c r="D693">
        <v>59.8</v>
      </c>
      <c r="E693">
        <f>MAX(ROUNDUP(D693, 0), C693)</f>
        <v>0</v>
      </c>
      <c r="F693" s="2">
        <v>7.55</v>
      </c>
      <c r="G693" s="2">
        <f>E693*F693</f>
        <v>0</v>
      </c>
      <c r="H693" s="2">
        <v>453</v>
      </c>
      <c r="I693" s="2">
        <f>ROUND(H693-G693, 2)</f>
        <v>0</v>
      </c>
      <c r="J693">
        <f>IF(ABS(I693)&gt;0.01, "Priority 3", "None")</f>
        <v>0</v>
      </c>
    </row>
    <row r="694" spans="1:10">
      <c r="A694" t="s">
        <v>1766</v>
      </c>
      <c r="B694" t="s">
        <v>1757</v>
      </c>
      <c r="C694">
        <v>32</v>
      </c>
      <c r="D694">
        <v>19.8</v>
      </c>
      <c r="E694">
        <f>MAX(ROUNDUP(D694, 0), C694)</f>
        <v>0</v>
      </c>
      <c r="F694" s="2">
        <v>7.55</v>
      </c>
      <c r="G694" s="2">
        <f>E694*F694</f>
        <v>0</v>
      </c>
      <c r="H694" s="2">
        <v>241.6</v>
      </c>
      <c r="I694" s="2">
        <f>ROUND(H694-G694, 2)</f>
        <v>0</v>
      </c>
      <c r="J694">
        <f>IF(ABS(I694)&gt;0.01, "Priority 3", "None")</f>
        <v>0</v>
      </c>
    </row>
    <row r="695" spans="1:10">
      <c r="A695" t="s">
        <v>1767</v>
      </c>
      <c r="B695" t="s">
        <v>1757</v>
      </c>
      <c r="C695">
        <v>45</v>
      </c>
      <c r="D695">
        <v>45.1</v>
      </c>
      <c r="E695">
        <f>MAX(ROUNDUP(D695, 0), C695)</f>
        <v>0</v>
      </c>
      <c r="F695" s="2">
        <v>7.55</v>
      </c>
      <c r="G695" s="2">
        <f>E695*F695</f>
        <v>0</v>
      </c>
      <c r="H695" s="2">
        <v>347.3</v>
      </c>
      <c r="I695" s="2">
        <f>ROUND(H695-G695, 2)</f>
        <v>0</v>
      </c>
      <c r="J695">
        <f>IF(ABS(I695)&gt;0.01, "Priority 3", "None")</f>
        <v>0</v>
      </c>
    </row>
    <row r="696" spans="1:10">
      <c r="A696" t="s">
        <v>1768</v>
      </c>
      <c r="B696" t="s">
        <v>1757</v>
      </c>
      <c r="C696">
        <v>24</v>
      </c>
      <c r="D696">
        <v>36.6</v>
      </c>
      <c r="E696">
        <f>MAX(ROUNDUP(D696, 0), C696)</f>
        <v>0</v>
      </c>
      <c r="F696" s="2">
        <v>7.55</v>
      </c>
      <c r="G696" s="2">
        <f>E696*F696</f>
        <v>0</v>
      </c>
      <c r="H696" s="2">
        <v>279.35</v>
      </c>
      <c r="I696" s="2">
        <f>ROUND(H696-G696, 2)</f>
        <v>0</v>
      </c>
      <c r="J696">
        <f>IF(ABS(I696)&gt;0.01, "Priority 3", "None")</f>
        <v>0</v>
      </c>
    </row>
    <row r="697" spans="1:10">
      <c r="A697" t="s">
        <v>1769</v>
      </c>
      <c r="B697" t="s">
        <v>1757</v>
      </c>
      <c r="C697">
        <v>50</v>
      </c>
      <c r="D697">
        <v>26.4</v>
      </c>
      <c r="E697">
        <f>MAX(ROUNDUP(D697, 0), C697)</f>
        <v>0</v>
      </c>
      <c r="F697" s="2">
        <v>7.55</v>
      </c>
      <c r="G697" s="2">
        <f>E697*F697</f>
        <v>0</v>
      </c>
      <c r="H697" s="2">
        <v>377.5</v>
      </c>
      <c r="I697" s="2">
        <f>ROUND(H697-G697, 2)</f>
        <v>0</v>
      </c>
      <c r="J697">
        <f>IF(ABS(I697)&gt;0.01, "Priority 3", "None")</f>
        <v>0</v>
      </c>
    </row>
    <row r="698" spans="1:10">
      <c r="A698" t="s">
        <v>1770</v>
      </c>
      <c r="B698" t="s">
        <v>1757</v>
      </c>
      <c r="C698">
        <v>32</v>
      </c>
      <c r="D698">
        <v>49.4</v>
      </c>
      <c r="E698">
        <f>MAX(ROUNDUP(D698, 0), C698)</f>
        <v>0</v>
      </c>
      <c r="F698" s="2">
        <v>7.55</v>
      </c>
      <c r="G698" s="2">
        <f>E698*F698</f>
        <v>0</v>
      </c>
      <c r="H698" s="2">
        <v>377.5</v>
      </c>
      <c r="I698" s="2">
        <f>ROUND(H698-G698, 2)</f>
        <v>0</v>
      </c>
      <c r="J698">
        <f>IF(ABS(I698)&gt;0.01, "Priority 3", "None")</f>
        <v>0</v>
      </c>
    </row>
    <row r="699" spans="1:10">
      <c r="A699" t="s">
        <v>1771</v>
      </c>
      <c r="B699" t="s">
        <v>1757</v>
      </c>
      <c r="C699">
        <v>50</v>
      </c>
      <c r="D699">
        <v>50</v>
      </c>
      <c r="E699">
        <f>MAX(ROUNDUP(D699, 0), C699)</f>
        <v>0</v>
      </c>
      <c r="F699" s="2">
        <v>7.55</v>
      </c>
      <c r="G699" s="2">
        <f>E699*F699</f>
        <v>0</v>
      </c>
      <c r="H699" s="2">
        <v>377.5</v>
      </c>
      <c r="I699" s="2">
        <f>ROUND(H699-G699, 2)</f>
        <v>0</v>
      </c>
      <c r="J699">
        <f>IF(ABS(I699)&gt;0.01, "Priority 3", "None")</f>
        <v>0</v>
      </c>
    </row>
    <row r="700" spans="1:10">
      <c r="A700" t="s">
        <v>1772</v>
      </c>
      <c r="B700" t="s">
        <v>1757</v>
      </c>
      <c r="C700">
        <v>60</v>
      </c>
      <c r="D700">
        <v>53.9</v>
      </c>
      <c r="E700">
        <f>MAX(ROUNDUP(D700, 0), C700)</f>
        <v>0</v>
      </c>
      <c r="F700" s="2">
        <v>7.55</v>
      </c>
      <c r="G700" s="2">
        <f>E700*F700</f>
        <v>0</v>
      </c>
      <c r="H700" s="2">
        <v>453</v>
      </c>
      <c r="I700" s="2">
        <f>ROUND(H700-G700, 2)</f>
        <v>0</v>
      </c>
      <c r="J700">
        <f>IF(ABS(I700)&gt;0.01, "Priority 3", "None")</f>
        <v>0</v>
      </c>
    </row>
    <row r="701" spans="1:10">
      <c r="A701" t="s">
        <v>1773</v>
      </c>
      <c r="B701" t="s">
        <v>1757</v>
      </c>
      <c r="C701">
        <v>28</v>
      </c>
      <c r="D701">
        <v>37.9</v>
      </c>
      <c r="E701">
        <f>MAX(ROUNDUP(D701, 0), C701)</f>
        <v>0</v>
      </c>
      <c r="F701" s="2">
        <v>7.55</v>
      </c>
      <c r="G701" s="2">
        <f>E701*F701</f>
        <v>0</v>
      </c>
      <c r="H701" s="2">
        <v>286.9</v>
      </c>
      <c r="I701" s="2">
        <f>ROUND(H701-G701, 2)</f>
        <v>0</v>
      </c>
      <c r="J701">
        <f>IF(ABS(I701)&gt;0.01, "Priority 3", "None")</f>
        <v>0</v>
      </c>
    </row>
    <row r="702" spans="1:10">
      <c r="A702" t="s">
        <v>1774</v>
      </c>
      <c r="B702" t="s">
        <v>1757</v>
      </c>
      <c r="C702">
        <v>32</v>
      </c>
      <c r="D702">
        <v>49.8</v>
      </c>
      <c r="E702">
        <f>MAX(ROUNDUP(D702, 0), C702)</f>
        <v>0</v>
      </c>
      <c r="F702" s="2">
        <v>7.55</v>
      </c>
      <c r="G702" s="2">
        <f>E702*F702</f>
        <v>0</v>
      </c>
      <c r="H702" s="2">
        <v>377.5</v>
      </c>
      <c r="I702" s="2">
        <f>ROUND(H702-G702, 2)</f>
        <v>0</v>
      </c>
      <c r="J702">
        <f>IF(ABS(I702)&gt;0.01, "Priority 3", "None")</f>
        <v>0</v>
      </c>
    </row>
    <row r="703" spans="1:10">
      <c r="A703" t="s">
        <v>1775</v>
      </c>
      <c r="B703" t="s">
        <v>1757</v>
      </c>
      <c r="C703">
        <v>32</v>
      </c>
      <c r="D703">
        <v>40.7</v>
      </c>
      <c r="E703">
        <f>MAX(ROUNDUP(D703, 0), C703)</f>
        <v>0</v>
      </c>
      <c r="F703" s="2">
        <v>7.55</v>
      </c>
      <c r="G703" s="2">
        <f>E703*F703</f>
        <v>0</v>
      </c>
      <c r="H703" s="2">
        <v>309.55</v>
      </c>
      <c r="I703" s="2">
        <f>ROUND(H703-G703, 2)</f>
        <v>0</v>
      </c>
      <c r="J703">
        <f>IF(ABS(I703)&gt;0.01, "Priority 3", "None")</f>
        <v>0</v>
      </c>
    </row>
    <row r="704" spans="1:10">
      <c r="A704" t="s">
        <v>1776</v>
      </c>
      <c r="B704" t="s">
        <v>1757</v>
      </c>
      <c r="C704">
        <v>32</v>
      </c>
      <c r="D704">
        <v>26.5</v>
      </c>
      <c r="E704">
        <f>MAX(ROUNDUP(D704, 0), C704)</f>
        <v>0</v>
      </c>
      <c r="F704" s="2">
        <v>7.55</v>
      </c>
      <c r="G704" s="2">
        <f>E704*F704</f>
        <v>0</v>
      </c>
      <c r="H704" s="2">
        <v>241.6</v>
      </c>
      <c r="I704" s="2">
        <f>ROUND(H704-G704, 2)</f>
        <v>0</v>
      </c>
      <c r="J704">
        <f>IF(ABS(I704)&gt;0.01, "Priority 3", "None")</f>
        <v>0</v>
      </c>
    </row>
    <row r="705" spans="1:10">
      <c r="A705" t="s">
        <v>1777</v>
      </c>
      <c r="B705" t="s">
        <v>1757</v>
      </c>
      <c r="C705">
        <v>80</v>
      </c>
      <c r="D705">
        <v>40.2</v>
      </c>
      <c r="E705">
        <f>MAX(ROUNDUP(D705, 0), C705)</f>
        <v>0</v>
      </c>
      <c r="F705" s="2">
        <v>7.55</v>
      </c>
      <c r="G705" s="2">
        <f>E705*F705</f>
        <v>0</v>
      </c>
      <c r="H705" s="2">
        <v>604</v>
      </c>
      <c r="I705" s="2">
        <f>ROUND(H705-G705, 2)</f>
        <v>0</v>
      </c>
      <c r="J705">
        <f>IF(ABS(I705)&gt;0.01, "Priority 3", "None")</f>
        <v>0</v>
      </c>
    </row>
    <row r="706" spans="1:10">
      <c r="A706" t="s">
        <v>1778</v>
      </c>
      <c r="B706" t="s">
        <v>1757</v>
      </c>
      <c r="C706">
        <v>32</v>
      </c>
      <c r="D706">
        <v>36.5</v>
      </c>
      <c r="E706">
        <f>MAX(ROUNDUP(D706, 0), C706)</f>
        <v>0</v>
      </c>
      <c r="F706" s="2">
        <v>7.55</v>
      </c>
      <c r="G706" s="2">
        <f>E706*F706</f>
        <v>0</v>
      </c>
      <c r="H706" s="2">
        <v>279.35</v>
      </c>
      <c r="I706" s="2">
        <f>ROUND(H706-G706, 2)</f>
        <v>0</v>
      </c>
      <c r="J706">
        <f>IF(ABS(I706)&gt;0.01, "Priority 3", "None")</f>
        <v>0</v>
      </c>
    </row>
    <row r="707" spans="1:10">
      <c r="A707" t="s">
        <v>1779</v>
      </c>
      <c r="B707" t="s">
        <v>1757</v>
      </c>
      <c r="C707">
        <v>80</v>
      </c>
      <c r="D707">
        <v>58.2</v>
      </c>
      <c r="E707">
        <f>MAX(ROUNDUP(D707, 0), C707)</f>
        <v>0</v>
      </c>
      <c r="F707" s="2">
        <v>7.55</v>
      </c>
      <c r="G707" s="2">
        <f>E707*F707</f>
        <v>0</v>
      </c>
      <c r="H707" s="2">
        <v>604</v>
      </c>
      <c r="I707" s="2">
        <f>ROUND(H707-G707, 2)</f>
        <v>0</v>
      </c>
      <c r="J707">
        <f>IF(ABS(I707)&gt;0.01, "Priority 3", "None")</f>
        <v>0</v>
      </c>
    </row>
    <row r="708" spans="1:10">
      <c r="A708" t="s">
        <v>1780</v>
      </c>
      <c r="B708" t="s">
        <v>1757</v>
      </c>
      <c r="C708">
        <v>32</v>
      </c>
      <c r="D708">
        <v>25.1</v>
      </c>
      <c r="E708">
        <f>MAX(ROUNDUP(D708, 0), C708)</f>
        <v>0</v>
      </c>
      <c r="F708" s="2">
        <v>7.55</v>
      </c>
      <c r="G708" s="2">
        <f>E708*F708</f>
        <v>0</v>
      </c>
      <c r="H708" s="2">
        <v>241.6</v>
      </c>
      <c r="I708" s="2">
        <f>ROUND(H708-G708, 2)</f>
        <v>0</v>
      </c>
      <c r="J708">
        <f>IF(ABS(I708)&gt;0.01, "Priority 3", "None")</f>
        <v>0</v>
      </c>
    </row>
    <row r="709" spans="1:10">
      <c r="A709" t="s">
        <v>1781</v>
      </c>
      <c r="B709" t="s">
        <v>1757</v>
      </c>
      <c r="C709">
        <v>50</v>
      </c>
      <c r="D709">
        <v>43.1</v>
      </c>
      <c r="E709">
        <f>MAX(ROUNDUP(D709, 0), C709)</f>
        <v>0</v>
      </c>
      <c r="F709" s="2">
        <v>7.55</v>
      </c>
      <c r="G709" s="2">
        <f>E709*F709</f>
        <v>0</v>
      </c>
      <c r="H709" s="2">
        <v>377.5</v>
      </c>
      <c r="I709" s="2">
        <f>ROUND(H709-G709, 2)</f>
        <v>0</v>
      </c>
      <c r="J709">
        <f>IF(ABS(I709)&gt;0.01, "Priority 3", "None")</f>
        <v>0</v>
      </c>
    </row>
    <row r="710" spans="1:10">
      <c r="A710" t="s">
        <v>1782</v>
      </c>
      <c r="B710" t="s">
        <v>1757</v>
      </c>
      <c r="C710">
        <v>24</v>
      </c>
      <c r="D710">
        <v>55.9</v>
      </c>
      <c r="E710">
        <f>MAX(ROUNDUP(D710, 0), C710)</f>
        <v>0</v>
      </c>
      <c r="F710" s="2">
        <v>7.55</v>
      </c>
      <c r="G710" s="2">
        <f>E710*F710</f>
        <v>0</v>
      </c>
      <c r="H710" s="2">
        <v>422.8</v>
      </c>
      <c r="I710" s="2">
        <f>ROUND(H710-G710, 2)</f>
        <v>0</v>
      </c>
      <c r="J710">
        <f>IF(ABS(I710)&gt;0.01, "Priority 3", "None")</f>
        <v>0</v>
      </c>
    </row>
    <row r="711" spans="1:10">
      <c r="A711" t="s">
        <v>1783</v>
      </c>
      <c r="B711" t="s">
        <v>1757</v>
      </c>
      <c r="C711">
        <v>24</v>
      </c>
      <c r="D711">
        <v>52.2</v>
      </c>
      <c r="E711">
        <f>MAX(ROUNDUP(D711, 0), C711)</f>
        <v>0</v>
      </c>
      <c r="F711" s="2">
        <v>7.55</v>
      </c>
      <c r="G711" s="2">
        <f>E711*F711</f>
        <v>0</v>
      </c>
      <c r="H711" s="2">
        <v>400.15</v>
      </c>
      <c r="I711" s="2">
        <f>ROUND(H711-G711, 2)</f>
        <v>0</v>
      </c>
      <c r="J711">
        <f>IF(ABS(I711)&gt;0.01, "Priority 3", "None")</f>
        <v>0</v>
      </c>
    </row>
    <row r="712" spans="1:10">
      <c r="A712" t="s">
        <v>1784</v>
      </c>
      <c r="B712" t="s">
        <v>1757</v>
      </c>
      <c r="C712">
        <v>24</v>
      </c>
      <c r="D712">
        <v>57.6</v>
      </c>
      <c r="E712">
        <f>MAX(ROUNDUP(D712, 0), C712)</f>
        <v>0</v>
      </c>
      <c r="F712" s="2">
        <v>7.55</v>
      </c>
      <c r="G712" s="2">
        <f>E712*F712</f>
        <v>0</v>
      </c>
      <c r="H712" s="2">
        <v>437.9</v>
      </c>
      <c r="I712" s="2">
        <f>ROUND(H712-G712, 2)</f>
        <v>0</v>
      </c>
      <c r="J712">
        <f>IF(ABS(I712)&gt;0.01, "Priority 3", "None")</f>
        <v>0</v>
      </c>
    </row>
    <row r="713" spans="1:10">
      <c r="A713" t="s">
        <v>1785</v>
      </c>
      <c r="B713" t="s">
        <v>1757</v>
      </c>
      <c r="C713">
        <v>40</v>
      </c>
      <c r="D713">
        <v>36</v>
      </c>
      <c r="E713">
        <f>MAX(ROUNDUP(D713, 0), C713)</f>
        <v>0</v>
      </c>
      <c r="F713" s="2">
        <v>7.55</v>
      </c>
      <c r="G713" s="2">
        <f>E713*F713</f>
        <v>0</v>
      </c>
      <c r="H713" s="2">
        <v>302</v>
      </c>
      <c r="I713" s="2">
        <f>ROUND(H713-G713, 2)</f>
        <v>0</v>
      </c>
      <c r="J713">
        <f>IF(ABS(I713)&gt;0.01, "Priority 3", "None")</f>
        <v>0</v>
      </c>
    </row>
    <row r="714" spans="1:10">
      <c r="A714" t="s">
        <v>1786</v>
      </c>
      <c r="B714" t="s">
        <v>1757</v>
      </c>
      <c r="C714">
        <v>40</v>
      </c>
      <c r="D714">
        <v>30.9</v>
      </c>
      <c r="E714">
        <f>MAX(ROUNDUP(D714, 0), C714)</f>
        <v>0</v>
      </c>
      <c r="F714" s="2">
        <v>7.55</v>
      </c>
      <c r="G714" s="2">
        <f>E714*F714</f>
        <v>0</v>
      </c>
      <c r="H714" s="2">
        <v>302</v>
      </c>
      <c r="I714" s="2">
        <f>ROUND(H714-G714, 2)</f>
        <v>0</v>
      </c>
      <c r="J714">
        <f>IF(ABS(I714)&gt;0.01, "Priority 3", "None")</f>
        <v>0</v>
      </c>
    </row>
    <row r="715" spans="1:10">
      <c r="A715" t="s">
        <v>1787</v>
      </c>
      <c r="B715" t="s">
        <v>1757</v>
      </c>
      <c r="C715">
        <v>28</v>
      </c>
      <c r="D715">
        <v>22.7</v>
      </c>
      <c r="E715">
        <f>MAX(ROUNDUP(D715, 0), C715)</f>
        <v>0</v>
      </c>
      <c r="F715" s="2">
        <v>7.55</v>
      </c>
      <c r="G715" s="2">
        <f>E715*F715</f>
        <v>0</v>
      </c>
      <c r="H715" s="2">
        <v>211.4</v>
      </c>
      <c r="I715" s="2">
        <f>ROUND(H715-G715, 2)</f>
        <v>0</v>
      </c>
      <c r="J715">
        <f>IF(ABS(I715)&gt;0.01, "Priority 3", "None")</f>
        <v>0</v>
      </c>
    </row>
    <row r="716" spans="1:10">
      <c r="A716" t="s">
        <v>1788</v>
      </c>
      <c r="B716" t="s">
        <v>1757</v>
      </c>
      <c r="C716">
        <v>60</v>
      </c>
      <c r="D716">
        <v>31.8</v>
      </c>
      <c r="E716">
        <f>MAX(ROUNDUP(D716, 0), C716)</f>
        <v>0</v>
      </c>
      <c r="F716" s="2">
        <v>7.55</v>
      </c>
      <c r="G716" s="2">
        <f>E716*F716</f>
        <v>0</v>
      </c>
      <c r="H716" s="2">
        <v>453</v>
      </c>
      <c r="I716" s="2">
        <f>ROUND(H716-G716, 2)</f>
        <v>0</v>
      </c>
      <c r="J716">
        <f>IF(ABS(I716)&gt;0.01, "Priority 3", "None")</f>
        <v>0</v>
      </c>
    </row>
    <row r="717" spans="1:10">
      <c r="A717" t="s">
        <v>1789</v>
      </c>
      <c r="B717" t="s">
        <v>1757</v>
      </c>
      <c r="C717">
        <v>28</v>
      </c>
      <c r="D717">
        <v>28.3</v>
      </c>
      <c r="E717">
        <f>MAX(ROUNDUP(D717, 0), C717)</f>
        <v>0</v>
      </c>
      <c r="F717" s="2">
        <v>7.55</v>
      </c>
      <c r="G717" s="2">
        <f>E717*F717</f>
        <v>0</v>
      </c>
      <c r="H717" s="2">
        <v>218.95</v>
      </c>
      <c r="I717" s="2">
        <f>ROUND(H717-G717, 2)</f>
        <v>0</v>
      </c>
      <c r="J717">
        <f>IF(ABS(I717)&gt;0.01, "Priority 3", "None")</f>
        <v>0</v>
      </c>
    </row>
    <row r="718" spans="1:10">
      <c r="A718" t="s">
        <v>1790</v>
      </c>
      <c r="B718" t="s">
        <v>1757</v>
      </c>
      <c r="C718">
        <v>24</v>
      </c>
      <c r="D718">
        <v>25.2</v>
      </c>
      <c r="E718">
        <f>MAX(ROUNDUP(D718, 0), C718)</f>
        <v>0</v>
      </c>
      <c r="F718" s="2">
        <v>7.55</v>
      </c>
      <c r="G718" s="2">
        <f>E718*F718</f>
        <v>0</v>
      </c>
      <c r="H718" s="2">
        <v>196.3</v>
      </c>
      <c r="I718" s="2">
        <f>ROUND(H718-G718, 2)</f>
        <v>0</v>
      </c>
      <c r="J718">
        <f>IF(ABS(I718)&gt;0.01, "Priority 3", "None")</f>
        <v>0</v>
      </c>
    </row>
    <row r="719" spans="1:10">
      <c r="A719" t="s">
        <v>1791</v>
      </c>
      <c r="B719" t="s">
        <v>1757</v>
      </c>
      <c r="C719">
        <v>28</v>
      </c>
      <c r="D719">
        <v>33.7</v>
      </c>
      <c r="E719">
        <f>MAX(ROUNDUP(D719, 0), C719)</f>
        <v>0</v>
      </c>
      <c r="F719" s="2">
        <v>7.55</v>
      </c>
      <c r="G719" s="2">
        <f>E719*F719</f>
        <v>0</v>
      </c>
      <c r="H719" s="2">
        <v>256.7</v>
      </c>
      <c r="I719" s="2">
        <f>ROUND(H719-G719, 2)</f>
        <v>0</v>
      </c>
      <c r="J719">
        <f>IF(ABS(I719)&gt;0.01, "Priority 3", "None")</f>
        <v>0</v>
      </c>
    </row>
    <row r="720" spans="1:10">
      <c r="A720" t="s">
        <v>1792</v>
      </c>
      <c r="B720" t="s">
        <v>1757</v>
      </c>
      <c r="C720">
        <v>80</v>
      </c>
      <c r="D720">
        <v>42.5</v>
      </c>
      <c r="E720">
        <f>MAX(ROUNDUP(D720, 0), C720)</f>
        <v>0</v>
      </c>
      <c r="F720" s="2">
        <v>7.55</v>
      </c>
      <c r="G720" s="2">
        <f>E720*F720</f>
        <v>0</v>
      </c>
      <c r="H720" s="2">
        <v>604</v>
      </c>
      <c r="I720" s="2">
        <f>ROUND(H720-G720, 2)</f>
        <v>0</v>
      </c>
      <c r="J720">
        <f>IF(ABS(I720)&gt;0.01, "Priority 3", "None")</f>
        <v>0</v>
      </c>
    </row>
    <row r="721" spans="1:10">
      <c r="A721" t="s">
        <v>1793</v>
      </c>
      <c r="B721" t="s">
        <v>1757</v>
      </c>
      <c r="C721">
        <v>80</v>
      </c>
      <c r="D721">
        <v>58.7</v>
      </c>
      <c r="E721">
        <f>MAX(ROUNDUP(D721, 0), C721)</f>
        <v>0</v>
      </c>
      <c r="F721" s="2">
        <v>7.55</v>
      </c>
      <c r="G721" s="2">
        <f>E721*F721</f>
        <v>0</v>
      </c>
      <c r="H721" s="2">
        <v>604</v>
      </c>
      <c r="I721" s="2">
        <f>ROUND(H721-G721, 2)</f>
        <v>0</v>
      </c>
      <c r="J721">
        <f>IF(ABS(I721)&gt;0.01, "Priority 3", "None")</f>
        <v>0</v>
      </c>
    </row>
    <row r="722" spans="1:10">
      <c r="A722" t="s">
        <v>1794</v>
      </c>
      <c r="B722" t="s">
        <v>1757</v>
      </c>
      <c r="C722">
        <v>60</v>
      </c>
      <c r="D722">
        <v>56.1</v>
      </c>
      <c r="E722">
        <f>MAX(ROUNDUP(D722, 0), C722)</f>
        <v>0</v>
      </c>
      <c r="F722" s="2">
        <v>7.55</v>
      </c>
      <c r="G722" s="2">
        <f>E722*F722</f>
        <v>0</v>
      </c>
      <c r="H722" s="2">
        <v>453</v>
      </c>
      <c r="I722" s="2">
        <f>ROUND(H722-G722, 2)</f>
        <v>0</v>
      </c>
      <c r="J722">
        <f>IF(ABS(I722)&gt;0.01, "Priority 3", "None")</f>
        <v>0</v>
      </c>
    </row>
    <row r="723" spans="1:10">
      <c r="A723" t="s">
        <v>1795</v>
      </c>
      <c r="B723" t="s">
        <v>1757</v>
      </c>
      <c r="C723">
        <v>60</v>
      </c>
      <c r="D723">
        <v>54.9</v>
      </c>
      <c r="E723">
        <f>MAX(ROUNDUP(D723, 0), C723)</f>
        <v>0</v>
      </c>
      <c r="F723" s="2">
        <v>7.55</v>
      </c>
      <c r="G723" s="2">
        <f>E723*F723</f>
        <v>0</v>
      </c>
      <c r="H723" s="2">
        <v>453</v>
      </c>
      <c r="I723" s="2">
        <f>ROUND(H723-G723, 2)</f>
        <v>0</v>
      </c>
      <c r="J723">
        <f>IF(ABS(I723)&gt;0.01, "Priority 3", "None")</f>
        <v>0</v>
      </c>
    </row>
    <row r="724" spans="1:10">
      <c r="A724" t="s">
        <v>1796</v>
      </c>
      <c r="B724" t="s">
        <v>1757</v>
      </c>
      <c r="C724">
        <v>80</v>
      </c>
      <c r="D724">
        <v>31.6</v>
      </c>
      <c r="E724">
        <f>MAX(ROUNDUP(D724, 0), C724)</f>
        <v>0</v>
      </c>
      <c r="F724" s="2">
        <v>7.55</v>
      </c>
      <c r="G724" s="2">
        <f>E724*F724</f>
        <v>0</v>
      </c>
      <c r="H724" s="2">
        <v>604</v>
      </c>
      <c r="I724" s="2">
        <f>ROUND(H724-G724, 2)</f>
        <v>0</v>
      </c>
      <c r="J724">
        <f>IF(ABS(I724)&gt;0.01, "Priority 3", "None")</f>
        <v>0</v>
      </c>
    </row>
    <row r="725" spans="1:10">
      <c r="A725" t="s">
        <v>1797</v>
      </c>
      <c r="B725" t="s">
        <v>1757</v>
      </c>
      <c r="C725">
        <v>60</v>
      </c>
      <c r="D725">
        <v>29.9</v>
      </c>
      <c r="E725">
        <f>MAX(ROUNDUP(D725, 0), C725)</f>
        <v>0</v>
      </c>
      <c r="F725" s="2">
        <v>7.55</v>
      </c>
      <c r="G725" s="2">
        <f>E725*F725</f>
        <v>0</v>
      </c>
      <c r="H725" s="2">
        <v>453</v>
      </c>
      <c r="I725" s="2">
        <f>ROUND(H725-G725, 2)</f>
        <v>0</v>
      </c>
      <c r="J725">
        <f>IF(ABS(I725)&gt;0.01, "Priority 3", "None")</f>
        <v>0</v>
      </c>
    </row>
    <row r="726" spans="1:10">
      <c r="A726" t="s">
        <v>1798</v>
      </c>
      <c r="B726" t="s">
        <v>1757</v>
      </c>
      <c r="C726">
        <v>28</v>
      </c>
      <c r="D726">
        <v>45.5</v>
      </c>
      <c r="E726">
        <f>MAX(ROUNDUP(D726, 0), C726)</f>
        <v>0</v>
      </c>
      <c r="F726" s="2">
        <v>7.55</v>
      </c>
      <c r="G726" s="2">
        <f>E726*F726</f>
        <v>0</v>
      </c>
      <c r="H726" s="2">
        <v>347.3</v>
      </c>
      <c r="I726" s="2">
        <f>ROUND(H726-G726, 2)</f>
        <v>0</v>
      </c>
      <c r="J726">
        <f>IF(ABS(I726)&gt;0.01, "Priority 3", "None")</f>
        <v>0</v>
      </c>
    </row>
    <row r="727" spans="1:10">
      <c r="A727" t="s">
        <v>1799</v>
      </c>
      <c r="B727" t="s">
        <v>1757</v>
      </c>
      <c r="C727">
        <v>24</v>
      </c>
      <c r="D727">
        <v>32.4</v>
      </c>
      <c r="E727">
        <f>MAX(ROUNDUP(D727, 0), C727)</f>
        <v>0</v>
      </c>
      <c r="F727" s="2">
        <v>7.55</v>
      </c>
      <c r="G727" s="2">
        <f>E727*F727</f>
        <v>0</v>
      </c>
      <c r="H727" s="2">
        <v>249.15</v>
      </c>
      <c r="I727" s="2">
        <f>ROUND(H727-G727, 2)</f>
        <v>0</v>
      </c>
      <c r="J727">
        <f>IF(ABS(I727)&gt;0.01, "Priority 3", "None")</f>
        <v>0</v>
      </c>
    </row>
    <row r="728" spans="1:10">
      <c r="A728" t="s">
        <v>1800</v>
      </c>
      <c r="B728" t="s">
        <v>1757</v>
      </c>
      <c r="C728">
        <v>28</v>
      </c>
      <c r="D728">
        <v>55.3</v>
      </c>
      <c r="E728">
        <f>MAX(ROUNDUP(D728, 0), C728)</f>
        <v>0</v>
      </c>
      <c r="F728" s="2">
        <v>7.55</v>
      </c>
      <c r="G728" s="2">
        <f>E728*F728</f>
        <v>0</v>
      </c>
      <c r="H728" s="2">
        <v>422.8</v>
      </c>
      <c r="I728" s="2">
        <f>ROUND(H728-G728, 2)</f>
        <v>0</v>
      </c>
      <c r="J728">
        <f>IF(ABS(I728)&gt;0.01, "Priority 3", "None")</f>
        <v>0</v>
      </c>
    </row>
    <row r="729" spans="1:10">
      <c r="A729" t="s">
        <v>1801</v>
      </c>
      <c r="B729" t="s">
        <v>1757</v>
      </c>
      <c r="C729">
        <v>28</v>
      </c>
      <c r="D729">
        <v>29.9</v>
      </c>
      <c r="E729">
        <f>MAX(ROUNDUP(D729, 0), C729)</f>
        <v>0</v>
      </c>
      <c r="F729" s="2">
        <v>7.55</v>
      </c>
      <c r="G729" s="2">
        <f>E729*F729</f>
        <v>0</v>
      </c>
      <c r="H729" s="2">
        <v>226.5</v>
      </c>
      <c r="I729" s="2">
        <f>ROUND(H729-G729, 2)</f>
        <v>0</v>
      </c>
      <c r="J729">
        <f>IF(ABS(I729)&gt;0.01, "Priority 3", "None")</f>
        <v>0</v>
      </c>
    </row>
    <row r="730" spans="1:10">
      <c r="A730" t="s">
        <v>1802</v>
      </c>
      <c r="B730" t="s">
        <v>1757</v>
      </c>
      <c r="C730">
        <v>32</v>
      </c>
      <c r="D730">
        <v>35.3</v>
      </c>
      <c r="E730">
        <f>MAX(ROUNDUP(D730, 0), C730)</f>
        <v>0</v>
      </c>
      <c r="F730" s="2">
        <v>7.55</v>
      </c>
      <c r="G730" s="2">
        <f>E730*F730</f>
        <v>0</v>
      </c>
      <c r="H730" s="2">
        <v>271.8</v>
      </c>
      <c r="I730" s="2">
        <f>ROUND(H730-G730, 2)</f>
        <v>0</v>
      </c>
      <c r="J730">
        <f>IF(ABS(I730)&gt;0.01, "Priority 3", "None")</f>
        <v>0</v>
      </c>
    </row>
    <row r="731" spans="1:10">
      <c r="A731" t="s">
        <v>1803</v>
      </c>
      <c r="B731" t="s">
        <v>1757</v>
      </c>
      <c r="C731">
        <v>80</v>
      </c>
      <c r="D731">
        <v>60</v>
      </c>
      <c r="E731">
        <f>MAX(ROUNDUP(D731, 0), C731)</f>
        <v>0</v>
      </c>
      <c r="F731" s="2">
        <v>7.55</v>
      </c>
      <c r="G731" s="2">
        <f>E731*F731</f>
        <v>0</v>
      </c>
      <c r="H731" s="2">
        <v>604</v>
      </c>
      <c r="I731" s="2">
        <f>ROUND(H731-G731, 2)</f>
        <v>0</v>
      </c>
      <c r="J731">
        <f>IF(ABS(I731)&gt;0.01, "Priority 3", "None")</f>
        <v>0</v>
      </c>
    </row>
    <row r="732" spans="1:10">
      <c r="A732" t="s">
        <v>1804</v>
      </c>
      <c r="B732" t="s">
        <v>1757</v>
      </c>
      <c r="C732">
        <v>32</v>
      </c>
      <c r="D732">
        <v>46.9</v>
      </c>
      <c r="E732">
        <f>MAX(ROUNDUP(D732, 0), C732)</f>
        <v>0</v>
      </c>
      <c r="F732" s="2">
        <v>7.55</v>
      </c>
      <c r="G732" s="2">
        <f>E732*F732</f>
        <v>0</v>
      </c>
      <c r="H732" s="2">
        <v>354.85</v>
      </c>
      <c r="I732" s="2">
        <f>ROUND(H732-G732, 2)</f>
        <v>0</v>
      </c>
      <c r="J732">
        <f>IF(ABS(I732)&gt;0.01, "Priority 3", "None")</f>
        <v>0</v>
      </c>
    </row>
    <row r="733" spans="1:10">
      <c r="A733" t="s">
        <v>1805</v>
      </c>
      <c r="B733" t="s">
        <v>1757</v>
      </c>
      <c r="C733">
        <v>32</v>
      </c>
      <c r="D733">
        <v>41.2</v>
      </c>
      <c r="E733">
        <f>MAX(ROUNDUP(D733, 0), C733)</f>
        <v>0</v>
      </c>
      <c r="F733" s="2">
        <v>7.55</v>
      </c>
      <c r="G733" s="2">
        <f>E733*F733</f>
        <v>0</v>
      </c>
      <c r="H733" s="2">
        <v>317.1</v>
      </c>
      <c r="I733" s="2">
        <f>ROUND(H733-G733, 2)</f>
        <v>0</v>
      </c>
      <c r="J733">
        <f>IF(ABS(I733)&gt;0.01, "Priority 3", "None")</f>
        <v>0</v>
      </c>
    </row>
    <row r="734" spans="1:10">
      <c r="A734" t="s">
        <v>1806</v>
      </c>
      <c r="B734" t="s">
        <v>1757</v>
      </c>
      <c r="C734">
        <v>60</v>
      </c>
      <c r="D734">
        <v>51.5</v>
      </c>
      <c r="E734">
        <f>MAX(ROUNDUP(D734, 0), C734)</f>
        <v>0</v>
      </c>
      <c r="F734" s="2">
        <v>7.55</v>
      </c>
      <c r="G734" s="2">
        <f>E734*F734</f>
        <v>0</v>
      </c>
      <c r="H734" s="2">
        <v>453</v>
      </c>
      <c r="I734" s="2">
        <f>ROUND(H734-G734, 2)</f>
        <v>0</v>
      </c>
      <c r="J734">
        <f>IF(ABS(I734)&gt;0.01, "Priority 3", "None")</f>
        <v>0</v>
      </c>
    </row>
    <row r="735" spans="1:10">
      <c r="A735" t="s">
        <v>1807</v>
      </c>
      <c r="B735" t="s">
        <v>1757</v>
      </c>
      <c r="C735">
        <v>40</v>
      </c>
      <c r="D735">
        <v>48.5</v>
      </c>
      <c r="E735">
        <f>MAX(ROUNDUP(D735, 0), C735)</f>
        <v>0</v>
      </c>
      <c r="F735" s="2">
        <v>7.55</v>
      </c>
      <c r="G735" s="2">
        <f>E735*F735</f>
        <v>0</v>
      </c>
      <c r="H735" s="2">
        <v>369.95</v>
      </c>
      <c r="I735" s="2">
        <f>ROUND(H735-G735, 2)</f>
        <v>0</v>
      </c>
      <c r="J735">
        <f>IF(ABS(I735)&gt;0.01, "Priority 3", "None")</f>
        <v>0</v>
      </c>
    </row>
    <row r="736" spans="1:10">
      <c r="A736" t="s">
        <v>1808</v>
      </c>
      <c r="B736" t="s">
        <v>1757</v>
      </c>
      <c r="C736">
        <v>36</v>
      </c>
      <c r="D736">
        <v>20.4</v>
      </c>
      <c r="E736">
        <f>MAX(ROUNDUP(D736, 0), C736)</f>
        <v>0</v>
      </c>
      <c r="F736" s="2">
        <v>7.55</v>
      </c>
      <c r="G736" s="2">
        <f>E736*F736</f>
        <v>0</v>
      </c>
      <c r="H736" s="2">
        <v>271.8</v>
      </c>
      <c r="I736" s="2">
        <f>ROUND(H736-G736, 2)</f>
        <v>0</v>
      </c>
      <c r="J736">
        <f>IF(ABS(I736)&gt;0.01, "Priority 3", "None")</f>
        <v>0</v>
      </c>
    </row>
    <row r="737" spans="1:10">
      <c r="A737" t="s">
        <v>1809</v>
      </c>
      <c r="B737" t="s">
        <v>1757</v>
      </c>
      <c r="C737">
        <v>70</v>
      </c>
      <c r="D737">
        <v>51.7</v>
      </c>
      <c r="E737">
        <f>MAX(ROUNDUP(D737, 0), C737)</f>
        <v>0</v>
      </c>
      <c r="F737" s="2">
        <v>7.55</v>
      </c>
      <c r="G737" s="2">
        <f>E737*F737</f>
        <v>0</v>
      </c>
      <c r="H737" s="2">
        <v>528.5</v>
      </c>
      <c r="I737" s="2">
        <f>ROUND(H737-G737, 2)</f>
        <v>0</v>
      </c>
      <c r="J737">
        <f>IF(ABS(I737)&gt;0.01, "Priority 3", "None")</f>
        <v>0</v>
      </c>
    </row>
    <row r="738" spans="1:10">
      <c r="A738" t="s">
        <v>1810</v>
      </c>
      <c r="B738" t="s">
        <v>1757</v>
      </c>
      <c r="C738">
        <v>32</v>
      </c>
      <c r="D738">
        <v>60.7</v>
      </c>
      <c r="E738">
        <f>MAX(ROUNDUP(D738, 0), C738)</f>
        <v>0</v>
      </c>
      <c r="F738" s="2">
        <v>7.55</v>
      </c>
      <c r="G738" s="2">
        <f>E738*F738</f>
        <v>0</v>
      </c>
      <c r="H738" s="2">
        <v>460.55</v>
      </c>
      <c r="I738" s="2">
        <f>ROUND(H738-G738, 2)</f>
        <v>0</v>
      </c>
      <c r="J738">
        <f>IF(ABS(I738)&gt;0.01, "Priority 3", "None")</f>
        <v>0</v>
      </c>
    </row>
    <row r="739" spans="1:10">
      <c r="A739" t="s">
        <v>1811</v>
      </c>
      <c r="B739" t="s">
        <v>1757</v>
      </c>
      <c r="C739">
        <v>32</v>
      </c>
      <c r="D739">
        <v>58.4</v>
      </c>
      <c r="E739">
        <f>MAX(ROUNDUP(D739, 0), C739)</f>
        <v>0</v>
      </c>
      <c r="F739" s="2">
        <v>7.55</v>
      </c>
      <c r="G739" s="2">
        <f>E739*F739</f>
        <v>0</v>
      </c>
      <c r="H739" s="2">
        <v>445.45</v>
      </c>
      <c r="I739" s="2">
        <f>ROUND(H739-G739, 2)</f>
        <v>0</v>
      </c>
      <c r="J739">
        <f>IF(ABS(I739)&gt;0.01, "Priority 3", "None")</f>
        <v>0</v>
      </c>
    </row>
    <row r="740" spans="1:10">
      <c r="A740" t="s">
        <v>1812</v>
      </c>
      <c r="B740" t="s">
        <v>1757</v>
      </c>
      <c r="C740">
        <v>32</v>
      </c>
      <c r="D740">
        <v>25.6</v>
      </c>
      <c r="E740">
        <f>MAX(ROUNDUP(D740, 0), C740)</f>
        <v>0</v>
      </c>
      <c r="F740" s="2">
        <v>7.55</v>
      </c>
      <c r="G740" s="2">
        <f>E740*F740</f>
        <v>0</v>
      </c>
      <c r="H740" s="2">
        <v>241.6</v>
      </c>
      <c r="I740" s="2">
        <f>ROUND(H740-G740, 2)</f>
        <v>0</v>
      </c>
      <c r="J740">
        <f>IF(ABS(I740)&gt;0.01, "Priority 3", "None")</f>
        <v>0</v>
      </c>
    </row>
    <row r="741" spans="1:10">
      <c r="A741" t="s">
        <v>1813</v>
      </c>
      <c r="B741" t="s">
        <v>1757</v>
      </c>
      <c r="C741">
        <v>32</v>
      </c>
      <c r="D741">
        <v>58.8</v>
      </c>
      <c r="E741">
        <f>MAX(ROUNDUP(D741, 0), C741)</f>
        <v>0</v>
      </c>
      <c r="F741" s="2">
        <v>7.55</v>
      </c>
      <c r="G741" s="2">
        <f>E741*F741</f>
        <v>0</v>
      </c>
      <c r="H741" s="2">
        <v>445.45</v>
      </c>
      <c r="I741" s="2">
        <f>ROUND(H741-G741, 2)</f>
        <v>0</v>
      </c>
      <c r="J741">
        <f>IF(ABS(I741)&gt;0.01, "Priority 3", "None")</f>
        <v>0</v>
      </c>
    </row>
    <row r="742" spans="1:10">
      <c r="A742" t="s">
        <v>1814</v>
      </c>
      <c r="B742" t="s">
        <v>1757</v>
      </c>
      <c r="C742">
        <v>28</v>
      </c>
      <c r="D742">
        <v>32.1</v>
      </c>
      <c r="E742">
        <f>MAX(ROUNDUP(D742, 0), C742)</f>
        <v>0</v>
      </c>
      <c r="F742" s="2">
        <v>7.55</v>
      </c>
      <c r="G742" s="2">
        <f>E742*F742</f>
        <v>0</v>
      </c>
      <c r="H742" s="2">
        <v>249.15</v>
      </c>
      <c r="I742" s="2">
        <f>ROUND(H742-G742, 2)</f>
        <v>0</v>
      </c>
      <c r="J742">
        <f>IF(ABS(I742)&gt;0.01, "Priority 3", "None")</f>
        <v>0</v>
      </c>
    </row>
    <row r="743" spans="1:10">
      <c r="A743" t="s">
        <v>1815</v>
      </c>
      <c r="B743" t="s">
        <v>1757</v>
      </c>
      <c r="C743">
        <v>36</v>
      </c>
      <c r="D743">
        <v>42.3</v>
      </c>
      <c r="E743">
        <f>MAX(ROUNDUP(D743, 0), C743)</f>
        <v>0</v>
      </c>
      <c r="F743" s="2">
        <v>7.55</v>
      </c>
      <c r="G743" s="2">
        <f>E743*F743</f>
        <v>0</v>
      </c>
      <c r="H743" s="2">
        <v>324.65</v>
      </c>
      <c r="I743" s="2">
        <f>ROUND(H743-G743, 2)</f>
        <v>0</v>
      </c>
      <c r="J743">
        <f>IF(ABS(I743)&gt;0.01, "Priority 3", "None")</f>
        <v>0</v>
      </c>
    </row>
    <row r="744" spans="1:10">
      <c r="A744" t="s">
        <v>1816</v>
      </c>
      <c r="B744" t="s">
        <v>1757</v>
      </c>
      <c r="C744">
        <v>45</v>
      </c>
      <c r="D744">
        <v>58</v>
      </c>
      <c r="E744">
        <f>MAX(ROUNDUP(D744, 0), C744)</f>
        <v>0</v>
      </c>
      <c r="F744" s="2">
        <v>7.55</v>
      </c>
      <c r="G744" s="2">
        <f>E744*F744</f>
        <v>0</v>
      </c>
      <c r="H744" s="2">
        <v>437.9</v>
      </c>
      <c r="I744" s="2">
        <f>ROUND(H744-G744, 2)</f>
        <v>0</v>
      </c>
      <c r="J744">
        <f>IF(ABS(I744)&gt;0.01, "Priority 3", "None")</f>
        <v>0</v>
      </c>
    </row>
    <row r="745" spans="1:10">
      <c r="A745" t="s">
        <v>1817</v>
      </c>
      <c r="B745" t="s">
        <v>1757</v>
      </c>
      <c r="C745">
        <v>45</v>
      </c>
      <c r="D745">
        <v>30.1</v>
      </c>
      <c r="E745">
        <f>MAX(ROUNDUP(D745, 0), C745)</f>
        <v>0</v>
      </c>
      <c r="F745" s="2">
        <v>7.55</v>
      </c>
      <c r="G745" s="2">
        <f>E745*F745</f>
        <v>0</v>
      </c>
      <c r="H745" s="2">
        <v>339.75</v>
      </c>
      <c r="I745" s="2">
        <f>ROUND(H745-G745, 2)</f>
        <v>0</v>
      </c>
      <c r="J745">
        <f>IF(ABS(I745)&gt;0.01, "Priority 3", "None")</f>
        <v>0</v>
      </c>
    </row>
    <row r="746" spans="1:10">
      <c r="A746" t="s">
        <v>1818</v>
      </c>
      <c r="B746" t="s">
        <v>1757</v>
      </c>
      <c r="C746">
        <v>80</v>
      </c>
      <c r="D746">
        <v>54.2</v>
      </c>
      <c r="E746">
        <f>MAX(ROUNDUP(D746, 0), C746)</f>
        <v>0</v>
      </c>
      <c r="F746" s="2">
        <v>7.55</v>
      </c>
      <c r="G746" s="2">
        <f>E746*F746</f>
        <v>0</v>
      </c>
      <c r="H746" s="2">
        <v>604</v>
      </c>
      <c r="I746" s="2">
        <f>ROUND(H746-G746, 2)</f>
        <v>0</v>
      </c>
      <c r="J746">
        <f>IF(ABS(I746)&gt;0.01, "Priority 3", "None")</f>
        <v>0</v>
      </c>
    </row>
    <row r="747" spans="1:10">
      <c r="A747" t="s">
        <v>1819</v>
      </c>
      <c r="B747" t="s">
        <v>1757</v>
      </c>
      <c r="C747">
        <v>45</v>
      </c>
      <c r="D747">
        <v>40.3</v>
      </c>
      <c r="E747">
        <f>MAX(ROUNDUP(D747, 0), C747)</f>
        <v>0</v>
      </c>
      <c r="F747" s="2">
        <v>7.55</v>
      </c>
      <c r="G747" s="2">
        <f>E747*F747</f>
        <v>0</v>
      </c>
      <c r="H747" s="2">
        <v>339.75</v>
      </c>
      <c r="I747" s="2">
        <f>ROUND(H747-G747, 2)</f>
        <v>0</v>
      </c>
      <c r="J747">
        <f>IF(ABS(I747)&gt;0.01, "Priority 3", "None")</f>
        <v>0</v>
      </c>
    </row>
    <row r="748" spans="1:10">
      <c r="A748" t="s">
        <v>1820</v>
      </c>
      <c r="B748" t="s">
        <v>1757</v>
      </c>
      <c r="C748">
        <v>24</v>
      </c>
      <c r="D748">
        <v>33.6</v>
      </c>
      <c r="E748">
        <f>MAX(ROUNDUP(D748, 0), C748)</f>
        <v>0</v>
      </c>
      <c r="F748" s="2">
        <v>7.55</v>
      </c>
      <c r="G748" s="2">
        <f>E748*F748</f>
        <v>0</v>
      </c>
      <c r="H748" s="2">
        <v>256.7</v>
      </c>
      <c r="I748" s="2">
        <f>ROUND(H748-G748, 2)</f>
        <v>0</v>
      </c>
      <c r="J748">
        <f>IF(ABS(I748)&gt;0.01, "Priority 3", "None")</f>
        <v>0</v>
      </c>
    </row>
    <row r="749" spans="1:10">
      <c r="A749" t="s">
        <v>1821</v>
      </c>
      <c r="B749" t="s">
        <v>1757</v>
      </c>
      <c r="C749">
        <v>32</v>
      </c>
      <c r="D749">
        <v>26.3</v>
      </c>
      <c r="E749">
        <f>MAX(ROUNDUP(D749, 0), C749)</f>
        <v>0</v>
      </c>
      <c r="F749" s="2">
        <v>7.55</v>
      </c>
      <c r="G749" s="2">
        <f>E749*F749</f>
        <v>0</v>
      </c>
      <c r="H749" s="2">
        <v>241.6</v>
      </c>
      <c r="I749" s="2">
        <f>ROUND(H749-G749, 2)</f>
        <v>0</v>
      </c>
      <c r="J749">
        <f>IF(ABS(I749)&gt;0.01, "Priority 3", "None")</f>
        <v>0</v>
      </c>
    </row>
    <row r="750" spans="1:10">
      <c r="A750" t="s">
        <v>1822</v>
      </c>
      <c r="B750" t="s">
        <v>1757</v>
      </c>
      <c r="C750">
        <v>60</v>
      </c>
      <c r="D750">
        <v>38.1</v>
      </c>
      <c r="E750">
        <f>MAX(ROUNDUP(D750, 0), C750)</f>
        <v>0</v>
      </c>
      <c r="F750" s="2">
        <v>7.55</v>
      </c>
      <c r="G750" s="2">
        <f>E750*F750</f>
        <v>0</v>
      </c>
      <c r="H750" s="2">
        <v>453</v>
      </c>
      <c r="I750" s="2">
        <f>ROUND(H750-G750, 2)</f>
        <v>0</v>
      </c>
      <c r="J750">
        <f>IF(ABS(I750)&gt;0.01, "Priority 3", "None")</f>
        <v>0</v>
      </c>
    </row>
    <row r="751" spans="1:10">
      <c r="A751" t="s">
        <v>1823</v>
      </c>
      <c r="B751" t="s">
        <v>1757</v>
      </c>
      <c r="C751">
        <v>45</v>
      </c>
      <c r="D751">
        <v>31.8</v>
      </c>
      <c r="E751">
        <f>MAX(ROUNDUP(D751, 0), C751)</f>
        <v>0</v>
      </c>
      <c r="F751" s="2">
        <v>7.55</v>
      </c>
      <c r="G751" s="2">
        <f>E751*F751</f>
        <v>0</v>
      </c>
      <c r="H751" s="2">
        <v>339.75</v>
      </c>
      <c r="I751" s="2">
        <f>ROUND(H751-G751, 2)</f>
        <v>0</v>
      </c>
      <c r="J751">
        <f>IF(ABS(I751)&gt;0.01, "Priority 3", "None")</f>
        <v>0</v>
      </c>
    </row>
    <row r="752" spans="1:10">
      <c r="A752" t="s">
        <v>1824</v>
      </c>
      <c r="B752" t="s">
        <v>1757</v>
      </c>
      <c r="C752">
        <v>28</v>
      </c>
      <c r="D752">
        <v>61.4</v>
      </c>
      <c r="E752">
        <f>MAX(ROUNDUP(D752, 0), C752)</f>
        <v>0</v>
      </c>
      <c r="F752" s="2">
        <v>7.55</v>
      </c>
      <c r="G752" s="2">
        <f>E752*F752</f>
        <v>0</v>
      </c>
      <c r="H752" s="2">
        <v>468.1</v>
      </c>
      <c r="I752" s="2">
        <f>ROUND(H752-G752, 2)</f>
        <v>0</v>
      </c>
      <c r="J752">
        <f>IF(ABS(I752)&gt;0.01, "Priority 3", "None")</f>
        <v>0</v>
      </c>
    </row>
    <row r="753" spans="1:10">
      <c r="A753" t="s">
        <v>1825</v>
      </c>
      <c r="B753" t="s">
        <v>1757</v>
      </c>
      <c r="C753">
        <v>45</v>
      </c>
      <c r="D753">
        <v>23.5</v>
      </c>
      <c r="E753">
        <f>MAX(ROUNDUP(D753, 0), C753)</f>
        <v>0</v>
      </c>
      <c r="F753" s="2">
        <v>7.55</v>
      </c>
      <c r="G753" s="2">
        <f>E753*F753</f>
        <v>0</v>
      </c>
      <c r="H753" s="2">
        <v>339.75</v>
      </c>
      <c r="I753" s="2">
        <f>ROUND(H753-G753, 2)</f>
        <v>0</v>
      </c>
      <c r="J753">
        <f>IF(ABS(I753)&gt;0.01, "Priority 3", "None")</f>
        <v>0</v>
      </c>
    </row>
    <row r="754" spans="1:10">
      <c r="A754" t="s">
        <v>1826</v>
      </c>
      <c r="B754" t="s">
        <v>1757</v>
      </c>
      <c r="C754">
        <v>28</v>
      </c>
      <c r="D754">
        <v>21</v>
      </c>
      <c r="E754">
        <f>MAX(ROUNDUP(D754, 0), C754)</f>
        <v>0</v>
      </c>
      <c r="F754" s="2">
        <v>7.55</v>
      </c>
      <c r="G754" s="2">
        <f>E754*F754</f>
        <v>0</v>
      </c>
      <c r="H754" s="2">
        <v>211.4</v>
      </c>
      <c r="I754" s="2">
        <f>ROUND(H754-G754, 2)</f>
        <v>0</v>
      </c>
      <c r="J754">
        <f>IF(ABS(I754)&gt;0.01, "Priority 3", "None")</f>
        <v>0</v>
      </c>
    </row>
    <row r="755" spans="1:10">
      <c r="A755" t="s">
        <v>1827</v>
      </c>
      <c r="B755" t="s">
        <v>1757</v>
      </c>
      <c r="C755">
        <v>45</v>
      </c>
      <c r="D755">
        <v>55.5</v>
      </c>
      <c r="E755">
        <f>MAX(ROUNDUP(D755, 0), C755)</f>
        <v>0</v>
      </c>
      <c r="F755" s="2">
        <v>7.55</v>
      </c>
      <c r="G755" s="2">
        <f>E755*F755</f>
        <v>0</v>
      </c>
      <c r="H755" s="2">
        <v>422.8</v>
      </c>
      <c r="I755" s="2">
        <f>ROUND(H755-G755, 2)</f>
        <v>0</v>
      </c>
      <c r="J755">
        <f>IF(ABS(I755)&gt;0.01, "Priority 3", "None")</f>
        <v>0</v>
      </c>
    </row>
    <row r="756" spans="1:10">
      <c r="A756" t="s">
        <v>1828</v>
      </c>
      <c r="B756" t="s">
        <v>1757</v>
      </c>
      <c r="C756">
        <v>70</v>
      </c>
      <c r="D756">
        <v>40.2</v>
      </c>
      <c r="E756">
        <f>MAX(ROUNDUP(D756, 0), C756)</f>
        <v>0</v>
      </c>
      <c r="F756" s="2">
        <v>7.55</v>
      </c>
      <c r="G756" s="2">
        <f>E756*F756</f>
        <v>0</v>
      </c>
      <c r="H756" s="2">
        <v>528.5</v>
      </c>
      <c r="I756" s="2">
        <f>ROUND(H756-G756, 2)</f>
        <v>0</v>
      </c>
      <c r="J756">
        <f>IF(ABS(I756)&gt;0.01, "Priority 3", "None")</f>
        <v>0</v>
      </c>
    </row>
    <row r="757" spans="1:10">
      <c r="A757" t="s">
        <v>1829</v>
      </c>
      <c r="B757" t="s">
        <v>1757</v>
      </c>
      <c r="C757">
        <v>32</v>
      </c>
      <c r="D757">
        <v>48.1</v>
      </c>
      <c r="E757">
        <f>MAX(ROUNDUP(D757, 0), C757)</f>
        <v>0</v>
      </c>
      <c r="F757" s="2">
        <v>7.55</v>
      </c>
      <c r="G757" s="2">
        <f>E757*F757</f>
        <v>0</v>
      </c>
      <c r="H757" s="2">
        <v>369.95</v>
      </c>
      <c r="I757" s="2">
        <f>ROUND(H757-G757, 2)</f>
        <v>0</v>
      </c>
      <c r="J757">
        <f>IF(ABS(I757)&gt;0.01, "Priority 3", "None")</f>
        <v>0</v>
      </c>
    </row>
    <row r="758" spans="1:10">
      <c r="A758" t="s">
        <v>1830</v>
      </c>
      <c r="B758" t="s">
        <v>1757</v>
      </c>
      <c r="C758">
        <v>24</v>
      </c>
      <c r="D758">
        <v>35.1</v>
      </c>
      <c r="E758">
        <f>MAX(ROUNDUP(D758, 0), C758)</f>
        <v>0</v>
      </c>
      <c r="F758" s="2">
        <v>7.55</v>
      </c>
      <c r="G758" s="2">
        <f>E758*F758</f>
        <v>0</v>
      </c>
      <c r="H758" s="2">
        <v>271.8</v>
      </c>
      <c r="I758" s="2">
        <f>ROUND(H758-G758, 2)</f>
        <v>0</v>
      </c>
      <c r="J758">
        <f>IF(ABS(I758)&gt;0.01, "Priority 3", "None")</f>
        <v>0</v>
      </c>
    </row>
    <row r="759" spans="1:10">
      <c r="A759" t="s">
        <v>1831</v>
      </c>
      <c r="B759" t="s">
        <v>1757</v>
      </c>
      <c r="C759">
        <v>60</v>
      </c>
      <c r="D759">
        <v>24.7</v>
      </c>
      <c r="E759">
        <f>MAX(ROUNDUP(D759, 0), C759)</f>
        <v>0</v>
      </c>
      <c r="F759" s="2">
        <v>7.55</v>
      </c>
      <c r="G759" s="2">
        <f>E759*F759</f>
        <v>0</v>
      </c>
      <c r="H759" s="2">
        <v>453</v>
      </c>
      <c r="I759" s="2">
        <f>ROUND(H759-G759, 2)</f>
        <v>0</v>
      </c>
      <c r="J759">
        <f>IF(ABS(I759)&gt;0.01, "Priority 3", "None")</f>
        <v>0</v>
      </c>
    </row>
    <row r="760" spans="1:10">
      <c r="A760" t="s">
        <v>1832</v>
      </c>
      <c r="B760" t="s">
        <v>1757</v>
      </c>
      <c r="C760">
        <v>45</v>
      </c>
      <c r="D760">
        <v>31.7</v>
      </c>
      <c r="E760">
        <f>MAX(ROUNDUP(D760, 0), C760)</f>
        <v>0</v>
      </c>
      <c r="F760" s="2">
        <v>7.55</v>
      </c>
      <c r="G760" s="2">
        <f>E760*F760</f>
        <v>0</v>
      </c>
      <c r="H760" s="2">
        <v>339.75</v>
      </c>
      <c r="I760" s="2">
        <f>ROUND(H760-G760, 2)</f>
        <v>0</v>
      </c>
      <c r="J760">
        <f>IF(ABS(I760)&gt;0.01, "Priority 3", "None")</f>
        <v>0</v>
      </c>
    </row>
    <row r="761" spans="1:10">
      <c r="A761" t="s">
        <v>1833</v>
      </c>
      <c r="B761" t="s">
        <v>1757</v>
      </c>
      <c r="C761">
        <v>24</v>
      </c>
      <c r="D761">
        <v>47.9</v>
      </c>
      <c r="E761">
        <f>MAX(ROUNDUP(D761, 0), C761)</f>
        <v>0</v>
      </c>
      <c r="F761" s="2">
        <v>7.55</v>
      </c>
      <c r="G761" s="2">
        <f>E761*F761</f>
        <v>0</v>
      </c>
      <c r="H761" s="2">
        <v>362.4</v>
      </c>
      <c r="I761" s="2">
        <f>ROUND(H761-G761, 2)</f>
        <v>0</v>
      </c>
      <c r="J761">
        <f>IF(ABS(I761)&gt;0.01, "Priority 3", "None")</f>
        <v>0</v>
      </c>
    </row>
    <row r="762" spans="1:10">
      <c r="A762" t="s">
        <v>1834</v>
      </c>
      <c r="B762" t="s">
        <v>1757</v>
      </c>
      <c r="C762">
        <v>32</v>
      </c>
      <c r="D762">
        <v>23.7</v>
      </c>
      <c r="E762">
        <f>MAX(ROUNDUP(D762, 0), C762)</f>
        <v>0</v>
      </c>
      <c r="F762" s="2">
        <v>7.55</v>
      </c>
      <c r="G762" s="2">
        <f>E762*F762</f>
        <v>0</v>
      </c>
      <c r="H762" s="2">
        <v>241.6</v>
      </c>
      <c r="I762" s="2">
        <f>ROUND(H762-G762, 2)</f>
        <v>0</v>
      </c>
      <c r="J762">
        <f>IF(ABS(I762)&gt;0.01, "Priority 3", "None")</f>
        <v>0</v>
      </c>
    </row>
    <row r="763" spans="1:10">
      <c r="A763" t="s">
        <v>1835</v>
      </c>
      <c r="B763" t="s">
        <v>1757</v>
      </c>
      <c r="C763">
        <v>32</v>
      </c>
      <c r="D763">
        <v>52.8</v>
      </c>
      <c r="E763">
        <f>MAX(ROUNDUP(D763, 0), C763)</f>
        <v>0</v>
      </c>
      <c r="F763" s="2">
        <v>7.55</v>
      </c>
      <c r="G763" s="2">
        <f>E763*F763</f>
        <v>0</v>
      </c>
      <c r="H763" s="2">
        <v>400.15</v>
      </c>
      <c r="I763" s="2">
        <f>ROUND(H763-G763, 2)</f>
        <v>0</v>
      </c>
      <c r="J763">
        <f>IF(ABS(I763)&gt;0.01, "Priority 3", "None")</f>
        <v>0</v>
      </c>
    </row>
    <row r="764" spans="1:10">
      <c r="A764" t="s">
        <v>1836</v>
      </c>
      <c r="B764" t="s">
        <v>1757</v>
      </c>
      <c r="C764">
        <v>24</v>
      </c>
      <c r="D764">
        <v>28.3</v>
      </c>
      <c r="E764">
        <f>MAX(ROUNDUP(D764, 0), C764)</f>
        <v>0</v>
      </c>
      <c r="F764" s="2">
        <v>7.55</v>
      </c>
      <c r="G764" s="2">
        <f>E764*F764</f>
        <v>0</v>
      </c>
      <c r="H764" s="2">
        <v>218.95</v>
      </c>
      <c r="I764" s="2">
        <f>ROUND(H764-G764, 2)</f>
        <v>0</v>
      </c>
      <c r="J764">
        <f>IF(ABS(I764)&gt;0.01, "Priority 3", "None")</f>
        <v>0</v>
      </c>
    </row>
    <row r="765" spans="1:10">
      <c r="A765" t="s">
        <v>1837</v>
      </c>
      <c r="B765" t="s">
        <v>1757</v>
      </c>
      <c r="C765">
        <v>32</v>
      </c>
      <c r="D765">
        <v>27</v>
      </c>
      <c r="E765">
        <f>MAX(ROUNDUP(D765, 0), C765)</f>
        <v>0</v>
      </c>
      <c r="F765" s="2">
        <v>7.55</v>
      </c>
      <c r="G765" s="2">
        <f>E765*F765</f>
        <v>0</v>
      </c>
      <c r="H765" s="2">
        <v>241.6</v>
      </c>
      <c r="I765" s="2">
        <f>ROUND(H765-G765, 2)</f>
        <v>0</v>
      </c>
      <c r="J765">
        <f>IF(ABS(I765)&gt;0.01, "Priority 3", "None")</f>
        <v>0</v>
      </c>
    </row>
    <row r="766" spans="1:10">
      <c r="A766" t="s">
        <v>1838</v>
      </c>
      <c r="B766" t="s">
        <v>1757</v>
      </c>
      <c r="C766">
        <v>28</v>
      </c>
      <c r="D766">
        <v>18.5</v>
      </c>
      <c r="E766">
        <f>MAX(ROUNDUP(D766, 0), C766)</f>
        <v>0</v>
      </c>
      <c r="F766" s="2">
        <v>7.55</v>
      </c>
      <c r="G766" s="2">
        <f>E766*F766</f>
        <v>0</v>
      </c>
      <c r="H766" s="2">
        <v>211.4</v>
      </c>
      <c r="I766" s="2">
        <f>ROUND(H766-G766, 2)</f>
        <v>0</v>
      </c>
      <c r="J766">
        <f>IF(ABS(I766)&gt;0.01, "Priority 3", "None")</f>
        <v>0</v>
      </c>
    </row>
    <row r="767" spans="1:10">
      <c r="A767" t="s">
        <v>1839</v>
      </c>
      <c r="B767" t="s">
        <v>1757</v>
      </c>
      <c r="C767">
        <v>80</v>
      </c>
      <c r="D767">
        <v>46.6</v>
      </c>
      <c r="E767">
        <f>MAX(ROUNDUP(D767, 0), C767)</f>
        <v>0</v>
      </c>
      <c r="F767" s="2">
        <v>7.55</v>
      </c>
      <c r="G767" s="2">
        <f>E767*F767</f>
        <v>0</v>
      </c>
      <c r="H767" s="2">
        <v>604</v>
      </c>
      <c r="I767" s="2">
        <f>ROUND(H767-G767, 2)</f>
        <v>0</v>
      </c>
      <c r="J767">
        <f>IF(ABS(I767)&gt;0.01, "Priority 3", "None")</f>
        <v>0</v>
      </c>
    </row>
    <row r="768" spans="1:10">
      <c r="A768" t="s">
        <v>1840</v>
      </c>
      <c r="B768" t="s">
        <v>1757</v>
      </c>
      <c r="C768">
        <v>80</v>
      </c>
      <c r="D768">
        <v>40.9</v>
      </c>
      <c r="E768">
        <f>MAX(ROUNDUP(D768, 0), C768)</f>
        <v>0</v>
      </c>
      <c r="F768" s="2">
        <v>7.55</v>
      </c>
      <c r="G768" s="2">
        <f>E768*F768</f>
        <v>0</v>
      </c>
      <c r="H768" s="2">
        <v>604</v>
      </c>
      <c r="I768" s="2">
        <f>ROUND(H768-G768, 2)</f>
        <v>0</v>
      </c>
      <c r="J768">
        <f>IF(ABS(I768)&gt;0.01, "Priority 3", "None")</f>
        <v>0</v>
      </c>
    </row>
    <row r="769" spans="1:10">
      <c r="A769" t="s">
        <v>1841</v>
      </c>
      <c r="B769" t="s">
        <v>1757</v>
      </c>
      <c r="C769">
        <v>32</v>
      </c>
      <c r="D769">
        <v>42</v>
      </c>
      <c r="E769">
        <f>MAX(ROUNDUP(D769, 0), C769)</f>
        <v>0</v>
      </c>
      <c r="F769" s="2">
        <v>7.55</v>
      </c>
      <c r="G769" s="2">
        <f>E769*F769</f>
        <v>0</v>
      </c>
      <c r="H769" s="2">
        <v>317.1</v>
      </c>
      <c r="I769" s="2">
        <f>ROUND(H769-G769, 2)</f>
        <v>0</v>
      </c>
      <c r="J769">
        <f>IF(ABS(I769)&gt;0.01, "Priority 3", "None")</f>
        <v>0</v>
      </c>
    </row>
    <row r="770" spans="1:10">
      <c r="A770" t="s">
        <v>1842</v>
      </c>
      <c r="B770" t="s">
        <v>1757</v>
      </c>
      <c r="C770">
        <v>40</v>
      </c>
      <c r="D770">
        <v>22.6</v>
      </c>
      <c r="E770">
        <f>MAX(ROUNDUP(D770, 0), C770)</f>
        <v>0</v>
      </c>
      <c r="F770" s="2">
        <v>7.55</v>
      </c>
      <c r="G770" s="2">
        <f>E770*F770</f>
        <v>0</v>
      </c>
      <c r="H770" s="2">
        <v>302</v>
      </c>
      <c r="I770" s="2">
        <f>ROUND(H770-G770, 2)</f>
        <v>0</v>
      </c>
      <c r="J770">
        <f>IF(ABS(I770)&gt;0.01, "Priority 3", "None")</f>
        <v>0</v>
      </c>
    </row>
    <row r="771" spans="1:10">
      <c r="A771" t="s">
        <v>1843</v>
      </c>
      <c r="B771" t="s">
        <v>1757</v>
      </c>
      <c r="C771">
        <v>60</v>
      </c>
      <c r="D771">
        <v>36.5</v>
      </c>
      <c r="E771">
        <f>MAX(ROUNDUP(D771, 0), C771)</f>
        <v>0</v>
      </c>
      <c r="F771" s="2">
        <v>7.55</v>
      </c>
      <c r="G771" s="2">
        <f>E771*F771</f>
        <v>0</v>
      </c>
      <c r="H771" s="2">
        <v>0</v>
      </c>
      <c r="I771" s="2">
        <f>ROUND(H771-G771, 2)</f>
        <v>0</v>
      </c>
      <c r="J771">
        <f>IF(ABS(I771)&gt;0.01, "Priority 3", "None")</f>
        <v>0</v>
      </c>
    </row>
    <row r="772" spans="1:10">
      <c r="A772" t="s">
        <v>1844</v>
      </c>
      <c r="B772" t="s">
        <v>1757</v>
      </c>
      <c r="C772">
        <v>32</v>
      </c>
      <c r="D772">
        <v>43.9</v>
      </c>
      <c r="E772">
        <f>MAX(ROUNDUP(D772, 0), C772)</f>
        <v>0</v>
      </c>
      <c r="F772" s="2">
        <v>7.55</v>
      </c>
      <c r="G772" s="2">
        <f>E772*F772</f>
        <v>0</v>
      </c>
      <c r="H772" s="2">
        <v>0</v>
      </c>
      <c r="I772" s="2">
        <f>ROUND(H772-G772, 2)</f>
        <v>0</v>
      </c>
      <c r="J772">
        <f>IF(ABS(I772)&gt;0.01, "Priority 3", "None")</f>
        <v>0</v>
      </c>
    </row>
    <row r="773" spans="1:10">
      <c r="A773" t="s">
        <v>1845</v>
      </c>
      <c r="B773" t="s">
        <v>1757</v>
      </c>
      <c r="C773">
        <v>50</v>
      </c>
      <c r="D773">
        <v>25.2</v>
      </c>
      <c r="E773">
        <f>MAX(ROUNDUP(D773, 0), C773)</f>
        <v>0</v>
      </c>
      <c r="F773" s="2">
        <v>7.55</v>
      </c>
      <c r="G773" s="2">
        <f>E773*F773</f>
        <v>0</v>
      </c>
      <c r="H773" s="2">
        <v>0</v>
      </c>
      <c r="I773" s="2">
        <f>ROUND(H773-G773, 2)</f>
        <v>0</v>
      </c>
      <c r="J773">
        <f>IF(ABS(I773)&gt;0.01, "Priority 3", "None")</f>
        <v>0</v>
      </c>
    </row>
    <row r="774" spans="1:10">
      <c r="A774" t="s">
        <v>1846</v>
      </c>
      <c r="B774" t="s">
        <v>1757</v>
      </c>
      <c r="C774">
        <v>60</v>
      </c>
      <c r="D774">
        <v>54.3</v>
      </c>
      <c r="E774">
        <f>MAX(ROUNDUP(D774, 0), C774)</f>
        <v>0</v>
      </c>
      <c r="F774" s="2">
        <v>7.55</v>
      </c>
      <c r="G774" s="2">
        <f>E774*F774</f>
        <v>0</v>
      </c>
      <c r="H774" s="2">
        <v>0</v>
      </c>
      <c r="I774" s="2">
        <f>ROUND(H774-G774, 2)</f>
        <v>0</v>
      </c>
      <c r="J774">
        <f>IF(ABS(I774)&gt;0.01, "Priority 3", "None")</f>
        <v>0</v>
      </c>
    </row>
    <row r="775" spans="1:10">
      <c r="A775" t="s">
        <v>1847</v>
      </c>
      <c r="B775" t="s">
        <v>1757</v>
      </c>
      <c r="C775">
        <v>45</v>
      </c>
      <c r="D775">
        <v>25.2</v>
      </c>
      <c r="E775">
        <f>MAX(ROUNDUP(D775, 0), C775)</f>
        <v>0</v>
      </c>
      <c r="F775" s="2">
        <v>7.55</v>
      </c>
      <c r="G775" s="2">
        <f>E775*F775</f>
        <v>0</v>
      </c>
      <c r="H775" s="2">
        <v>0</v>
      </c>
      <c r="I775" s="2">
        <f>ROUND(H775-G775, 2)</f>
        <v>0</v>
      </c>
      <c r="J775">
        <f>IF(ABS(I775)&gt;0.01, "Priority 3", "None")</f>
        <v>0</v>
      </c>
    </row>
    <row r="776" spans="1:10">
      <c r="A776" t="s">
        <v>1848</v>
      </c>
      <c r="B776" t="s">
        <v>1757</v>
      </c>
      <c r="C776">
        <v>24</v>
      </c>
      <c r="D776">
        <v>38.3</v>
      </c>
      <c r="E776">
        <f>MAX(ROUNDUP(D776, 0), C776)</f>
        <v>0</v>
      </c>
      <c r="F776" s="2">
        <v>7.55</v>
      </c>
      <c r="G776" s="2">
        <f>E776*F776</f>
        <v>0</v>
      </c>
      <c r="H776" s="2">
        <v>0</v>
      </c>
      <c r="I776" s="2">
        <f>ROUND(H776-G776, 2)</f>
        <v>0</v>
      </c>
      <c r="J776">
        <f>IF(ABS(I776)&gt;0.01, "Priority 3", "None")</f>
        <v>0</v>
      </c>
    </row>
    <row r="777" spans="1:10">
      <c r="A777" t="s">
        <v>1849</v>
      </c>
      <c r="B777" t="s">
        <v>1757</v>
      </c>
      <c r="C777">
        <v>70</v>
      </c>
      <c r="D777">
        <v>25.9</v>
      </c>
      <c r="E777">
        <f>MAX(ROUNDUP(D777, 0), C777)</f>
        <v>0</v>
      </c>
      <c r="F777" s="2">
        <v>7.55</v>
      </c>
      <c r="G777" s="2">
        <f>E777*F777</f>
        <v>0</v>
      </c>
      <c r="H777" s="2">
        <v>0</v>
      </c>
      <c r="I777" s="2">
        <f>ROUND(H777-G777, 2)</f>
        <v>0</v>
      </c>
      <c r="J777">
        <f>IF(ABS(I777)&gt;0.01, "Priority 3", "None")</f>
        <v>0</v>
      </c>
    </row>
    <row r="778" spans="1:10">
      <c r="A778" t="s">
        <v>1850</v>
      </c>
      <c r="B778" t="s">
        <v>1757</v>
      </c>
      <c r="C778">
        <v>45</v>
      </c>
      <c r="D778">
        <v>35.6</v>
      </c>
      <c r="E778">
        <f>MAX(ROUNDUP(D778, 0), C778)</f>
        <v>0</v>
      </c>
      <c r="F778" s="2">
        <v>7.55</v>
      </c>
      <c r="G778" s="2">
        <f>E778*F778</f>
        <v>0</v>
      </c>
      <c r="H778" s="2">
        <v>0</v>
      </c>
      <c r="I778" s="2">
        <f>ROUND(H778-G778, 2)</f>
        <v>0</v>
      </c>
      <c r="J778">
        <f>IF(ABS(I778)&gt;0.01, "Priority 3", "None")</f>
        <v>0</v>
      </c>
    </row>
    <row r="779" spans="1:10">
      <c r="A779" t="s">
        <v>1851</v>
      </c>
      <c r="B779" t="s">
        <v>1757</v>
      </c>
      <c r="C779">
        <v>70</v>
      </c>
      <c r="D779">
        <v>28.7</v>
      </c>
      <c r="E779">
        <f>MAX(ROUNDUP(D779, 0), C779)</f>
        <v>0</v>
      </c>
      <c r="F779" s="2">
        <v>7.55</v>
      </c>
      <c r="G779" s="2">
        <f>E779*F779</f>
        <v>0</v>
      </c>
      <c r="H779" s="2">
        <v>0</v>
      </c>
      <c r="I779" s="2">
        <f>ROUND(H779-G779, 2)</f>
        <v>0</v>
      </c>
      <c r="J779">
        <f>IF(ABS(I779)&gt;0.01, "Priority 3", "None")</f>
        <v>0</v>
      </c>
    </row>
    <row r="780" spans="1:10">
      <c r="A780" t="s">
        <v>1852</v>
      </c>
      <c r="B780" t="s">
        <v>1757</v>
      </c>
      <c r="C780">
        <v>32</v>
      </c>
      <c r="D780">
        <v>37</v>
      </c>
      <c r="E780">
        <f>MAX(ROUNDUP(D780, 0), C780)</f>
        <v>0</v>
      </c>
      <c r="F780" s="2">
        <v>7.55</v>
      </c>
      <c r="G780" s="2">
        <f>E780*F780</f>
        <v>0</v>
      </c>
      <c r="H780" s="2">
        <v>0</v>
      </c>
      <c r="I780" s="2">
        <f>ROUND(H780-G780, 2)</f>
        <v>0</v>
      </c>
      <c r="J780">
        <f>IF(ABS(I780)&gt;0.01, "Priority 3", "None")</f>
        <v>0</v>
      </c>
    </row>
    <row r="781" spans="1:10">
      <c r="A781" t="s">
        <v>1853</v>
      </c>
      <c r="B781" t="s">
        <v>1757</v>
      </c>
      <c r="C781">
        <v>32</v>
      </c>
      <c r="D781">
        <v>51.6</v>
      </c>
      <c r="E781">
        <f>MAX(ROUNDUP(D781, 0), C781)</f>
        <v>0</v>
      </c>
      <c r="F781" s="2">
        <v>7.55</v>
      </c>
      <c r="G781" s="2">
        <f>E781*F781</f>
        <v>0</v>
      </c>
      <c r="H781" s="2">
        <v>0</v>
      </c>
      <c r="I781" s="2">
        <f>ROUND(H781-G781, 2)</f>
        <v>0</v>
      </c>
      <c r="J781">
        <f>IF(ABS(I781)&gt;0.01, "Priority 3", "None")</f>
        <v>0</v>
      </c>
    </row>
    <row r="782" spans="1:10">
      <c r="A782" t="s">
        <v>1854</v>
      </c>
      <c r="B782" t="s">
        <v>1757</v>
      </c>
      <c r="C782">
        <v>40</v>
      </c>
      <c r="D782">
        <v>32.5</v>
      </c>
      <c r="E782">
        <f>MAX(ROUNDUP(D782, 0), C782)</f>
        <v>0</v>
      </c>
      <c r="F782" s="2">
        <v>7.55</v>
      </c>
      <c r="G782" s="2">
        <f>E782*F782</f>
        <v>0</v>
      </c>
      <c r="H782" s="2">
        <v>0</v>
      </c>
      <c r="I782" s="2">
        <f>ROUND(H782-G782, 2)</f>
        <v>0</v>
      </c>
      <c r="J782">
        <f>IF(ABS(I782)&gt;0.01, "Priority 3", "None")</f>
        <v>0</v>
      </c>
    </row>
    <row r="783" spans="1:10">
      <c r="A783" t="s">
        <v>1855</v>
      </c>
      <c r="B783" t="s">
        <v>1757</v>
      </c>
      <c r="C783">
        <v>32</v>
      </c>
      <c r="D783">
        <v>18.1</v>
      </c>
      <c r="E783">
        <f>MAX(ROUNDUP(D783, 0), C783)</f>
        <v>0</v>
      </c>
      <c r="F783" s="2">
        <v>7.55</v>
      </c>
      <c r="G783" s="2">
        <f>E783*F783</f>
        <v>0</v>
      </c>
      <c r="H783" s="2">
        <v>0</v>
      </c>
      <c r="I783" s="2">
        <f>ROUND(H783-G783, 2)</f>
        <v>0</v>
      </c>
      <c r="J783">
        <f>IF(ABS(I783)&gt;0.01, "Priority 3", "None")</f>
        <v>0</v>
      </c>
    </row>
    <row r="784" spans="1:10">
      <c r="A784" t="s">
        <v>1856</v>
      </c>
      <c r="B784" t="s">
        <v>1757</v>
      </c>
      <c r="C784">
        <v>70</v>
      </c>
      <c r="D784">
        <v>52.3</v>
      </c>
      <c r="E784">
        <f>MAX(ROUNDUP(D784, 0), C784)</f>
        <v>0</v>
      </c>
      <c r="F784" s="2">
        <v>7.55</v>
      </c>
      <c r="G784" s="2">
        <f>E784*F784</f>
        <v>0</v>
      </c>
      <c r="H784" s="2">
        <v>0</v>
      </c>
      <c r="I784" s="2">
        <f>ROUND(H784-G784, 2)</f>
        <v>0</v>
      </c>
      <c r="J784">
        <f>IF(ABS(I784)&gt;0.01, "Priority 3", "None")</f>
        <v>0</v>
      </c>
    </row>
    <row r="785" spans="1:10">
      <c r="A785" t="s">
        <v>1857</v>
      </c>
      <c r="B785" t="s">
        <v>1757</v>
      </c>
      <c r="C785">
        <v>24</v>
      </c>
      <c r="D785">
        <v>46.9</v>
      </c>
      <c r="E785">
        <f>MAX(ROUNDUP(D785, 0), C785)</f>
        <v>0</v>
      </c>
      <c r="F785" s="2">
        <v>7.55</v>
      </c>
      <c r="G785" s="2">
        <f>E785*F785</f>
        <v>0</v>
      </c>
      <c r="H785" s="2">
        <v>0</v>
      </c>
      <c r="I785" s="2">
        <f>ROUND(H785-G785, 2)</f>
        <v>0</v>
      </c>
      <c r="J785">
        <f>IF(ABS(I785)&gt;0.01, "Priority 3", "None")</f>
        <v>0</v>
      </c>
    </row>
    <row r="786" spans="1:10">
      <c r="A786" t="s">
        <v>1858</v>
      </c>
      <c r="B786" t="s">
        <v>1757</v>
      </c>
      <c r="C786">
        <v>80</v>
      </c>
      <c r="D786">
        <v>54.3</v>
      </c>
      <c r="E786">
        <f>MAX(ROUNDUP(D786, 0), C786)</f>
        <v>0</v>
      </c>
      <c r="F786" s="2">
        <v>7.55</v>
      </c>
      <c r="G786" s="2">
        <f>E786*F786</f>
        <v>0</v>
      </c>
      <c r="H786" s="2">
        <v>0</v>
      </c>
      <c r="I786" s="2">
        <f>ROUND(H786-G786, 2)</f>
        <v>0</v>
      </c>
      <c r="J786">
        <f>IF(ABS(I786)&gt;0.01, "Priority 3", "None")</f>
        <v>0</v>
      </c>
    </row>
    <row r="787" spans="1:10">
      <c r="A787" t="s">
        <v>1859</v>
      </c>
      <c r="B787" t="s">
        <v>1757</v>
      </c>
      <c r="C787">
        <v>40</v>
      </c>
      <c r="D787">
        <v>33.7</v>
      </c>
      <c r="E787">
        <f>MAX(ROUNDUP(D787, 0), C787)</f>
        <v>0</v>
      </c>
      <c r="F787" s="2">
        <v>7.55</v>
      </c>
      <c r="G787" s="2">
        <f>E787*F787</f>
        <v>0</v>
      </c>
      <c r="H787" s="2">
        <v>0</v>
      </c>
      <c r="I787" s="2">
        <f>ROUND(H787-G787, 2)</f>
        <v>0</v>
      </c>
      <c r="J787">
        <f>IF(ABS(I787)&gt;0.01, "Priority 3", "None")</f>
        <v>0</v>
      </c>
    </row>
    <row r="788" spans="1:10">
      <c r="A788" t="s">
        <v>1860</v>
      </c>
      <c r="B788" t="s">
        <v>1757</v>
      </c>
      <c r="C788">
        <v>70</v>
      </c>
      <c r="D788">
        <v>61.4</v>
      </c>
      <c r="E788">
        <f>MAX(ROUNDUP(D788, 0), C788)</f>
        <v>0</v>
      </c>
      <c r="F788" s="2">
        <v>7.55</v>
      </c>
      <c r="G788" s="2">
        <f>E788*F788</f>
        <v>0</v>
      </c>
      <c r="H788" s="2">
        <v>0</v>
      </c>
      <c r="I788" s="2">
        <f>ROUND(H788-G788, 2)</f>
        <v>0</v>
      </c>
      <c r="J788">
        <f>IF(ABS(I788)&gt;0.01, "Priority 3", "None")</f>
        <v>0</v>
      </c>
    </row>
    <row r="789" spans="1:10">
      <c r="A789" t="s">
        <v>1861</v>
      </c>
      <c r="B789" t="s">
        <v>1757</v>
      </c>
      <c r="C789">
        <v>80</v>
      </c>
      <c r="D789">
        <v>19.9</v>
      </c>
      <c r="E789">
        <f>MAX(ROUNDUP(D789, 0), C789)</f>
        <v>0</v>
      </c>
      <c r="F789" s="2">
        <v>7.55</v>
      </c>
      <c r="G789" s="2">
        <f>E789*F789</f>
        <v>0</v>
      </c>
      <c r="H789" s="2">
        <v>0</v>
      </c>
      <c r="I789" s="2">
        <f>ROUND(H789-G789, 2)</f>
        <v>0</v>
      </c>
      <c r="J789">
        <f>IF(ABS(I789)&gt;0.01, "Priority 3", "None")</f>
        <v>0</v>
      </c>
    </row>
    <row r="790" spans="1:10">
      <c r="A790" t="s">
        <v>1862</v>
      </c>
      <c r="B790" t="s">
        <v>1757</v>
      </c>
      <c r="C790">
        <v>28</v>
      </c>
      <c r="D790">
        <v>46.7</v>
      </c>
      <c r="E790">
        <f>MAX(ROUNDUP(D790, 0), C790)</f>
        <v>0</v>
      </c>
      <c r="F790" s="2">
        <v>7.55</v>
      </c>
      <c r="G790" s="2">
        <f>E790*F790</f>
        <v>0</v>
      </c>
      <c r="H790" s="2">
        <v>0</v>
      </c>
      <c r="I790" s="2">
        <f>ROUND(H790-G790, 2)</f>
        <v>0</v>
      </c>
      <c r="J790">
        <f>IF(ABS(I790)&gt;0.01, "Priority 3", "None")</f>
        <v>0</v>
      </c>
    </row>
    <row r="791" spans="1:10">
      <c r="A791" t="s">
        <v>1863</v>
      </c>
      <c r="B791" t="s">
        <v>1757</v>
      </c>
      <c r="C791">
        <v>28</v>
      </c>
      <c r="D791">
        <v>41.9</v>
      </c>
      <c r="E791">
        <f>MAX(ROUNDUP(D791, 0), C791)</f>
        <v>0</v>
      </c>
      <c r="F791" s="2">
        <v>7.55</v>
      </c>
      <c r="G791" s="2">
        <f>E791*F791</f>
        <v>0</v>
      </c>
      <c r="H791" s="2">
        <v>0</v>
      </c>
      <c r="I791" s="2">
        <f>ROUND(H791-G791, 2)</f>
        <v>0</v>
      </c>
      <c r="J791">
        <f>IF(ABS(I791)&gt;0.01, "Priority 3", "None")</f>
        <v>0</v>
      </c>
    </row>
    <row r="792" spans="1:10">
      <c r="A792" t="s">
        <v>1864</v>
      </c>
      <c r="B792" t="s">
        <v>1757</v>
      </c>
      <c r="C792">
        <v>32</v>
      </c>
      <c r="D792">
        <v>19.1</v>
      </c>
      <c r="E792">
        <f>MAX(ROUNDUP(D792, 0), C792)</f>
        <v>0</v>
      </c>
      <c r="F792" s="2">
        <v>7.55</v>
      </c>
      <c r="G792" s="2">
        <f>E792*F792</f>
        <v>0</v>
      </c>
      <c r="H792" s="2">
        <v>0</v>
      </c>
      <c r="I792" s="2">
        <f>ROUND(H792-G792, 2)</f>
        <v>0</v>
      </c>
      <c r="J792">
        <f>IF(ABS(I792)&gt;0.01, "Priority 3", "None")</f>
        <v>0</v>
      </c>
    </row>
    <row r="793" spans="1:10">
      <c r="A793" t="s">
        <v>1865</v>
      </c>
      <c r="B793" t="s">
        <v>1757</v>
      </c>
      <c r="C793">
        <v>70</v>
      </c>
      <c r="D793">
        <v>30.9</v>
      </c>
      <c r="E793">
        <f>MAX(ROUNDUP(D793, 0), C793)</f>
        <v>0</v>
      </c>
      <c r="F793" s="2">
        <v>7.55</v>
      </c>
      <c r="G793" s="2">
        <f>E793*F793</f>
        <v>0</v>
      </c>
      <c r="H793" s="2">
        <v>0</v>
      </c>
      <c r="I793" s="2">
        <f>ROUND(H793-G793, 2)</f>
        <v>0</v>
      </c>
      <c r="J793">
        <f>IF(ABS(I793)&gt;0.01, "Priority 3", "None")</f>
        <v>0</v>
      </c>
    </row>
    <row r="794" spans="1:10">
      <c r="A794" t="s">
        <v>1866</v>
      </c>
      <c r="B794" t="s">
        <v>1757</v>
      </c>
      <c r="C794">
        <v>70</v>
      </c>
      <c r="D794">
        <v>41.2</v>
      </c>
      <c r="E794">
        <f>MAX(ROUNDUP(D794, 0), C794)</f>
        <v>0</v>
      </c>
      <c r="F794" s="2">
        <v>7.55</v>
      </c>
      <c r="G794" s="2">
        <f>E794*F794</f>
        <v>0</v>
      </c>
      <c r="H794" s="2">
        <v>0</v>
      </c>
      <c r="I794" s="2">
        <f>ROUND(H794-G794, 2)</f>
        <v>0</v>
      </c>
      <c r="J794">
        <f>IF(ABS(I794)&gt;0.01, "Priority 3", "None")</f>
        <v>0</v>
      </c>
    </row>
    <row r="795" spans="1:10">
      <c r="A795" t="s">
        <v>1867</v>
      </c>
      <c r="B795" t="s">
        <v>1757</v>
      </c>
      <c r="C795">
        <v>24</v>
      </c>
      <c r="D795">
        <v>60.9</v>
      </c>
      <c r="E795">
        <f>MAX(ROUNDUP(D795, 0), C795)</f>
        <v>0</v>
      </c>
      <c r="F795" s="2">
        <v>7.55</v>
      </c>
      <c r="G795" s="2">
        <f>E795*F795</f>
        <v>0</v>
      </c>
      <c r="H795" s="2">
        <v>0</v>
      </c>
      <c r="I795" s="2">
        <f>ROUND(H795-G795, 2)</f>
        <v>0</v>
      </c>
      <c r="J795">
        <f>IF(ABS(I795)&gt;0.01, "Priority 3", "None")</f>
        <v>0</v>
      </c>
    </row>
    <row r="796" spans="1:10">
      <c r="A796" t="s">
        <v>1868</v>
      </c>
      <c r="B796" t="s">
        <v>1757</v>
      </c>
      <c r="C796">
        <v>60</v>
      </c>
      <c r="D796">
        <v>31.3</v>
      </c>
      <c r="E796">
        <f>MAX(ROUNDUP(D796, 0), C796)</f>
        <v>0</v>
      </c>
      <c r="F796" s="2">
        <v>7.55</v>
      </c>
      <c r="G796" s="2">
        <f>E796*F796</f>
        <v>0</v>
      </c>
      <c r="H796" s="2">
        <v>0</v>
      </c>
      <c r="I796" s="2">
        <f>ROUND(H796-G796, 2)</f>
        <v>0</v>
      </c>
      <c r="J796">
        <f>IF(ABS(I796)&gt;0.01, "Priority 3", "None")</f>
        <v>0</v>
      </c>
    </row>
    <row r="797" spans="1:10">
      <c r="A797" t="s">
        <v>1869</v>
      </c>
      <c r="B797" t="s">
        <v>1757</v>
      </c>
      <c r="C797">
        <v>60</v>
      </c>
      <c r="D797">
        <v>29.8</v>
      </c>
      <c r="E797">
        <f>MAX(ROUNDUP(D797, 0), C797)</f>
        <v>0</v>
      </c>
      <c r="F797" s="2">
        <v>7.55</v>
      </c>
      <c r="G797" s="2">
        <f>E797*F797</f>
        <v>0</v>
      </c>
      <c r="H797" s="2">
        <v>0</v>
      </c>
      <c r="I797" s="2">
        <f>ROUND(H797-G797, 2)</f>
        <v>0</v>
      </c>
      <c r="J797">
        <f>IF(ABS(I797)&gt;0.01, "Priority 3", "None")</f>
        <v>0</v>
      </c>
    </row>
    <row r="798" spans="1:10">
      <c r="A798" t="s">
        <v>1870</v>
      </c>
      <c r="B798" t="s">
        <v>1757</v>
      </c>
      <c r="C798">
        <v>70</v>
      </c>
      <c r="D798">
        <v>53.7</v>
      </c>
      <c r="E798">
        <f>MAX(ROUNDUP(D798, 0), C798)</f>
        <v>0</v>
      </c>
      <c r="F798" s="2">
        <v>7.55</v>
      </c>
      <c r="G798" s="2">
        <f>E798*F798</f>
        <v>0</v>
      </c>
      <c r="H798" s="2">
        <v>0</v>
      </c>
      <c r="I798" s="2">
        <f>ROUND(H798-G798, 2)</f>
        <v>0</v>
      </c>
      <c r="J798">
        <f>IF(ABS(I798)&gt;0.01, "Priority 3", "None")</f>
        <v>0</v>
      </c>
    </row>
    <row r="799" spans="1:10">
      <c r="A799" t="s">
        <v>1871</v>
      </c>
      <c r="B799" t="s">
        <v>1757</v>
      </c>
      <c r="C799">
        <v>24</v>
      </c>
      <c r="D799">
        <v>28.3</v>
      </c>
      <c r="E799">
        <f>MAX(ROUNDUP(D799, 0), C799)</f>
        <v>0</v>
      </c>
      <c r="F799" s="2">
        <v>7.55</v>
      </c>
      <c r="G799" s="2">
        <f>E799*F799</f>
        <v>0</v>
      </c>
      <c r="H799" s="2">
        <v>0</v>
      </c>
      <c r="I799" s="2">
        <f>ROUND(H799-G799, 2)</f>
        <v>0</v>
      </c>
      <c r="J799">
        <f>IF(ABS(I799)&gt;0.01, "Priority 3", "None")</f>
        <v>0</v>
      </c>
    </row>
    <row r="800" spans="1:10">
      <c r="A800" t="s">
        <v>1872</v>
      </c>
      <c r="B800" t="s">
        <v>1757</v>
      </c>
      <c r="C800">
        <v>32</v>
      </c>
      <c r="D800">
        <v>41.9</v>
      </c>
      <c r="E800">
        <f>MAX(ROUNDUP(D800, 0), C800)</f>
        <v>0</v>
      </c>
      <c r="F800" s="2">
        <v>7.55</v>
      </c>
      <c r="G800" s="2">
        <f>E800*F800</f>
        <v>0</v>
      </c>
      <c r="H800" s="2">
        <v>0</v>
      </c>
      <c r="I800" s="2">
        <f>ROUND(H800-G800, 2)</f>
        <v>0</v>
      </c>
      <c r="J800">
        <f>IF(ABS(I800)&gt;0.01, "Priority 3", "None")</f>
        <v>0</v>
      </c>
    </row>
    <row r="801" spans="1:10">
      <c r="A801" t="s">
        <v>1873</v>
      </c>
      <c r="B801" t="s">
        <v>1757</v>
      </c>
      <c r="C801">
        <v>32</v>
      </c>
      <c r="D801">
        <v>21</v>
      </c>
      <c r="E801">
        <f>MAX(ROUNDUP(D801, 0), C801)</f>
        <v>0</v>
      </c>
      <c r="F801" s="2">
        <v>7.55</v>
      </c>
      <c r="G801" s="2">
        <f>E801*F801</f>
        <v>0</v>
      </c>
      <c r="H801" s="2">
        <v>0</v>
      </c>
      <c r="I801" s="2">
        <f>ROUND(H801-G801, 2)</f>
        <v>0</v>
      </c>
      <c r="J801">
        <f>IF(ABS(I801)&gt;0.01, "Priority 3", "None")</f>
        <v>0</v>
      </c>
    </row>
    <row r="802" spans="1:10">
      <c r="A802" t="s">
        <v>1874</v>
      </c>
      <c r="B802" t="s">
        <v>1757</v>
      </c>
      <c r="C802">
        <v>28</v>
      </c>
      <c r="D802">
        <v>30.7</v>
      </c>
      <c r="E802">
        <f>MAX(ROUNDUP(D802, 0), C802)</f>
        <v>0</v>
      </c>
      <c r="F802" s="2">
        <v>7.55</v>
      </c>
      <c r="G802" s="2">
        <f>E802*F802</f>
        <v>0</v>
      </c>
      <c r="H802" s="2">
        <v>0</v>
      </c>
      <c r="I802" s="2">
        <f>ROUND(H802-G802, 2)</f>
        <v>0</v>
      </c>
      <c r="J802">
        <f>IF(ABS(I802)&gt;0.01, "Priority 3", "None")</f>
        <v>0</v>
      </c>
    </row>
    <row r="803" spans="1:10">
      <c r="A803" t="s">
        <v>1875</v>
      </c>
      <c r="B803" t="s">
        <v>1757</v>
      </c>
      <c r="C803">
        <v>32</v>
      </c>
      <c r="D803">
        <v>55.7</v>
      </c>
      <c r="E803">
        <f>MAX(ROUNDUP(D803, 0), C803)</f>
        <v>0</v>
      </c>
      <c r="F803" s="2">
        <v>7.55</v>
      </c>
      <c r="G803" s="2">
        <f>E803*F803</f>
        <v>0</v>
      </c>
      <c r="H803" s="2">
        <v>0</v>
      </c>
      <c r="I803" s="2">
        <f>ROUND(H803-G803, 2)</f>
        <v>0</v>
      </c>
      <c r="J803">
        <f>IF(ABS(I803)&gt;0.01, "Priority 3", "None")</f>
        <v>0</v>
      </c>
    </row>
    <row r="804" spans="1:10">
      <c r="A804" t="s">
        <v>1876</v>
      </c>
      <c r="B804" t="s">
        <v>1757</v>
      </c>
      <c r="C804">
        <v>24</v>
      </c>
      <c r="D804">
        <v>58.3</v>
      </c>
      <c r="E804">
        <f>MAX(ROUNDUP(D804, 0), C804)</f>
        <v>0</v>
      </c>
      <c r="F804" s="2">
        <v>7.55</v>
      </c>
      <c r="G804" s="2">
        <f>E804*F804</f>
        <v>0</v>
      </c>
      <c r="H804" s="2">
        <v>0</v>
      </c>
      <c r="I804" s="2">
        <f>ROUND(H804-G804, 2)</f>
        <v>0</v>
      </c>
      <c r="J804">
        <f>IF(ABS(I804)&gt;0.01, "Priority 3", "None")</f>
        <v>0</v>
      </c>
    </row>
    <row r="805" spans="1:10">
      <c r="A805" t="s">
        <v>1877</v>
      </c>
      <c r="B805" t="s">
        <v>1757</v>
      </c>
      <c r="C805">
        <v>32</v>
      </c>
      <c r="D805">
        <v>50.2</v>
      </c>
      <c r="E805">
        <f>MAX(ROUNDUP(D805, 0), C805)</f>
        <v>0</v>
      </c>
      <c r="F805" s="2">
        <v>7.55</v>
      </c>
      <c r="G805" s="2">
        <f>E805*F805</f>
        <v>0</v>
      </c>
      <c r="H805" s="2">
        <v>0</v>
      </c>
      <c r="I805" s="2">
        <f>ROUND(H805-G805, 2)</f>
        <v>0</v>
      </c>
      <c r="J805">
        <f>IF(ABS(I805)&gt;0.01, "Priority 3", "None")</f>
        <v>0</v>
      </c>
    </row>
    <row r="806" spans="1:10">
      <c r="A806" t="s">
        <v>1878</v>
      </c>
      <c r="B806" t="s">
        <v>1757</v>
      </c>
      <c r="C806">
        <v>24</v>
      </c>
      <c r="D806">
        <v>30.5</v>
      </c>
      <c r="E806">
        <f>MAX(ROUNDUP(D806, 0), C806)</f>
        <v>0</v>
      </c>
      <c r="F806" s="2">
        <v>7.55</v>
      </c>
      <c r="G806" s="2">
        <f>E806*F806</f>
        <v>0</v>
      </c>
      <c r="H806" s="2">
        <v>0</v>
      </c>
      <c r="I806" s="2">
        <f>ROUND(H806-G806, 2)</f>
        <v>0</v>
      </c>
      <c r="J806">
        <f>IF(ABS(I806)&gt;0.01, "Priority 3", "None")</f>
        <v>0</v>
      </c>
    </row>
    <row r="807" spans="1:10">
      <c r="A807" t="s">
        <v>1879</v>
      </c>
      <c r="B807" t="s">
        <v>1757</v>
      </c>
      <c r="C807">
        <v>45</v>
      </c>
      <c r="D807">
        <v>28.6</v>
      </c>
      <c r="E807">
        <f>MAX(ROUNDUP(D807, 0), C807)</f>
        <v>0</v>
      </c>
      <c r="F807" s="2">
        <v>7.55</v>
      </c>
      <c r="G807" s="2">
        <f>E807*F807</f>
        <v>0</v>
      </c>
      <c r="H807" s="2">
        <v>0</v>
      </c>
      <c r="I807" s="2">
        <f>ROUND(H807-G807, 2)</f>
        <v>0</v>
      </c>
      <c r="J807">
        <f>IF(ABS(I807)&gt;0.01, "Priority 3", "None")</f>
        <v>0</v>
      </c>
    </row>
    <row r="808" spans="1:10">
      <c r="A808" t="s">
        <v>1880</v>
      </c>
      <c r="B808" t="s">
        <v>1757</v>
      </c>
      <c r="C808">
        <v>70</v>
      </c>
      <c r="D808">
        <v>39.9</v>
      </c>
      <c r="E808">
        <f>MAX(ROUNDUP(D808, 0), C808)</f>
        <v>0</v>
      </c>
      <c r="F808" s="2">
        <v>7.55</v>
      </c>
      <c r="G808" s="2">
        <f>E808*F808</f>
        <v>0</v>
      </c>
      <c r="H808" s="2">
        <v>0</v>
      </c>
      <c r="I808" s="2">
        <f>ROUND(H808-G808, 2)</f>
        <v>0</v>
      </c>
      <c r="J808">
        <f>IF(ABS(I808)&gt;0.01, "Priority 3", "None")</f>
        <v>0</v>
      </c>
    </row>
    <row r="809" spans="1:10">
      <c r="A809" t="s">
        <v>1881</v>
      </c>
      <c r="B809" t="s">
        <v>1757</v>
      </c>
      <c r="C809">
        <v>28</v>
      </c>
      <c r="D809">
        <v>36.1</v>
      </c>
      <c r="E809">
        <f>MAX(ROUNDUP(D809, 0), C809)</f>
        <v>0</v>
      </c>
      <c r="F809" s="2">
        <v>7.55</v>
      </c>
      <c r="G809" s="2">
        <f>E809*F809</f>
        <v>0</v>
      </c>
      <c r="H809" s="2">
        <v>0</v>
      </c>
      <c r="I809" s="2">
        <f>ROUND(H809-G809, 2)</f>
        <v>0</v>
      </c>
      <c r="J809">
        <f>IF(ABS(I809)&gt;0.01, "Priority 3", "None")</f>
        <v>0</v>
      </c>
    </row>
    <row r="810" spans="1:10">
      <c r="A810" t="s">
        <v>1882</v>
      </c>
      <c r="B810" t="s">
        <v>1757</v>
      </c>
      <c r="C810">
        <v>60</v>
      </c>
      <c r="D810">
        <v>53.2</v>
      </c>
      <c r="E810">
        <f>MAX(ROUNDUP(D810, 0), C810)</f>
        <v>0</v>
      </c>
      <c r="F810" s="2">
        <v>7.55</v>
      </c>
      <c r="G810" s="2">
        <f>E810*F810</f>
        <v>0</v>
      </c>
      <c r="H810" s="2">
        <v>0</v>
      </c>
      <c r="I810" s="2">
        <f>ROUND(H810-G810, 2)</f>
        <v>0</v>
      </c>
      <c r="J810">
        <f>IF(ABS(I810)&gt;0.01, "Priority 3", "None")</f>
        <v>0</v>
      </c>
    </row>
    <row r="811" spans="1:10">
      <c r="A811" t="s">
        <v>1883</v>
      </c>
      <c r="B811" t="s">
        <v>1757</v>
      </c>
      <c r="C811">
        <v>70</v>
      </c>
      <c r="D811">
        <v>34.2</v>
      </c>
      <c r="E811">
        <f>MAX(ROUNDUP(D811, 0), C811)</f>
        <v>0</v>
      </c>
      <c r="F811" s="2">
        <v>7.55</v>
      </c>
      <c r="G811" s="2">
        <f>E811*F811</f>
        <v>0</v>
      </c>
      <c r="H811" s="2">
        <v>0</v>
      </c>
      <c r="I811" s="2">
        <f>ROUND(H811-G811, 2)</f>
        <v>0</v>
      </c>
      <c r="J811">
        <f>IF(ABS(I811)&gt;0.01, "Priority 3", "None")</f>
        <v>0</v>
      </c>
    </row>
    <row r="812" spans="1:10">
      <c r="A812" t="s">
        <v>1884</v>
      </c>
      <c r="B812" t="s">
        <v>1757</v>
      </c>
      <c r="C812">
        <v>32</v>
      </c>
      <c r="D812">
        <v>36.4</v>
      </c>
      <c r="E812">
        <f>MAX(ROUNDUP(D812, 0), C812)</f>
        <v>0</v>
      </c>
      <c r="F812" s="2">
        <v>7.55</v>
      </c>
      <c r="G812" s="2">
        <f>E812*F812</f>
        <v>0</v>
      </c>
      <c r="H812" s="2">
        <v>0</v>
      </c>
      <c r="I812" s="2">
        <f>ROUND(H812-G812, 2)</f>
        <v>0</v>
      </c>
      <c r="J812">
        <f>IF(ABS(I812)&gt;0.01, "Priority 3", "None")</f>
        <v>0</v>
      </c>
    </row>
    <row r="813" spans="1:10">
      <c r="A813" t="s">
        <v>1885</v>
      </c>
      <c r="B813" t="s">
        <v>1757</v>
      </c>
      <c r="C813">
        <v>32</v>
      </c>
      <c r="D813">
        <v>53.6</v>
      </c>
      <c r="E813">
        <f>MAX(ROUNDUP(D813, 0), C813)</f>
        <v>0</v>
      </c>
      <c r="F813" s="2">
        <v>7.55</v>
      </c>
      <c r="G813" s="2">
        <f>E813*F813</f>
        <v>0</v>
      </c>
      <c r="H813" s="2">
        <v>0</v>
      </c>
      <c r="I813" s="2">
        <f>ROUND(H813-G813, 2)</f>
        <v>0</v>
      </c>
      <c r="J813">
        <f>IF(ABS(I813)&gt;0.01, "Priority 3", "None")</f>
        <v>0</v>
      </c>
    </row>
    <row r="814" spans="1:10">
      <c r="A814" t="s">
        <v>1886</v>
      </c>
      <c r="B814" t="s">
        <v>1757</v>
      </c>
      <c r="C814">
        <v>50</v>
      </c>
      <c r="D814">
        <v>43.6</v>
      </c>
      <c r="E814">
        <f>MAX(ROUNDUP(D814, 0), C814)</f>
        <v>0</v>
      </c>
      <c r="F814" s="2">
        <v>7.55</v>
      </c>
      <c r="G814" s="2">
        <f>E814*F814</f>
        <v>0</v>
      </c>
      <c r="H814" s="2">
        <v>0</v>
      </c>
      <c r="I814" s="2">
        <f>ROUND(H814-G814, 2)</f>
        <v>0</v>
      </c>
      <c r="J814">
        <f>IF(ABS(I814)&gt;0.01, "Priority 3", "None")</f>
        <v>0</v>
      </c>
    </row>
    <row r="815" spans="1:10">
      <c r="A815" t="s">
        <v>1887</v>
      </c>
      <c r="B815" t="s">
        <v>1757</v>
      </c>
      <c r="C815">
        <v>24</v>
      </c>
      <c r="D815">
        <v>58.6</v>
      </c>
      <c r="E815">
        <f>MAX(ROUNDUP(D815, 0), C815)</f>
        <v>0</v>
      </c>
      <c r="F815" s="2">
        <v>7.55</v>
      </c>
      <c r="G815" s="2">
        <f>E815*F815</f>
        <v>0</v>
      </c>
      <c r="H815" s="2">
        <v>0</v>
      </c>
      <c r="I815" s="2">
        <f>ROUND(H815-G815, 2)</f>
        <v>0</v>
      </c>
      <c r="J815">
        <f>IF(ABS(I815)&gt;0.01, "Priority 3", "None")</f>
        <v>0</v>
      </c>
    </row>
    <row r="816" spans="1:10">
      <c r="A816" t="s">
        <v>1888</v>
      </c>
      <c r="B816" t="s">
        <v>1757</v>
      </c>
      <c r="C816">
        <v>80</v>
      </c>
      <c r="D816">
        <v>33.4</v>
      </c>
      <c r="E816">
        <f>MAX(ROUNDUP(D816, 0), C816)</f>
        <v>0</v>
      </c>
      <c r="F816" s="2">
        <v>7.55</v>
      </c>
      <c r="G816" s="2">
        <f>E816*F816</f>
        <v>0</v>
      </c>
      <c r="H816" s="2">
        <v>0</v>
      </c>
      <c r="I816" s="2">
        <f>ROUND(H816-G816, 2)</f>
        <v>0</v>
      </c>
      <c r="J816">
        <f>IF(ABS(I816)&gt;0.01, "Priority 3", "None")</f>
        <v>0</v>
      </c>
    </row>
    <row r="817" spans="1:10">
      <c r="A817" t="s">
        <v>1889</v>
      </c>
      <c r="B817" t="s">
        <v>1757</v>
      </c>
      <c r="C817">
        <v>24</v>
      </c>
      <c r="D817">
        <v>39.3</v>
      </c>
      <c r="E817">
        <f>MAX(ROUNDUP(D817, 0), C817)</f>
        <v>0</v>
      </c>
      <c r="F817" s="2">
        <v>7.55</v>
      </c>
      <c r="G817" s="2">
        <f>E817*F817</f>
        <v>0</v>
      </c>
      <c r="H817" s="2">
        <v>0</v>
      </c>
      <c r="I817" s="2">
        <f>ROUND(H817-G817, 2)</f>
        <v>0</v>
      </c>
      <c r="J817">
        <f>IF(ABS(I817)&gt;0.01, "Priority 3", "None")</f>
        <v>0</v>
      </c>
    </row>
    <row r="818" spans="1:10">
      <c r="A818" t="s">
        <v>1890</v>
      </c>
      <c r="B818" t="s">
        <v>1757</v>
      </c>
      <c r="C818">
        <v>70</v>
      </c>
      <c r="D818">
        <v>28.7</v>
      </c>
      <c r="E818">
        <f>MAX(ROUNDUP(D818, 0), C818)</f>
        <v>0</v>
      </c>
      <c r="F818" s="2">
        <v>7.55</v>
      </c>
      <c r="G818" s="2">
        <f>E818*F818</f>
        <v>0</v>
      </c>
      <c r="H818" s="2">
        <v>0</v>
      </c>
      <c r="I818" s="2">
        <f>ROUND(H818-G818, 2)</f>
        <v>0</v>
      </c>
      <c r="J818">
        <f>IF(ABS(I818)&gt;0.01, "Priority 3", "None")</f>
        <v>0</v>
      </c>
    </row>
    <row r="819" spans="1:10">
      <c r="A819" t="s">
        <v>1891</v>
      </c>
      <c r="B819" t="s">
        <v>1757</v>
      </c>
      <c r="C819">
        <v>36</v>
      </c>
      <c r="D819">
        <v>43.8</v>
      </c>
      <c r="E819">
        <f>MAX(ROUNDUP(D819, 0), C819)</f>
        <v>0</v>
      </c>
      <c r="F819" s="2">
        <v>7.55</v>
      </c>
      <c r="G819" s="2">
        <f>E819*F819</f>
        <v>0</v>
      </c>
      <c r="H819" s="2">
        <v>0</v>
      </c>
      <c r="I819" s="2">
        <f>ROUND(H819-G819, 2)</f>
        <v>0</v>
      </c>
      <c r="J819">
        <f>IF(ABS(I819)&gt;0.01, "Priority 3", "None")</f>
        <v>0</v>
      </c>
    </row>
    <row r="820" spans="1:10">
      <c r="A820" t="s">
        <v>1892</v>
      </c>
      <c r="B820" t="s">
        <v>1757</v>
      </c>
      <c r="C820">
        <v>45</v>
      </c>
      <c r="D820">
        <v>40.5</v>
      </c>
      <c r="E820">
        <f>MAX(ROUNDUP(D820, 0), C820)</f>
        <v>0</v>
      </c>
      <c r="F820" s="2">
        <v>7.55</v>
      </c>
      <c r="G820" s="2">
        <f>E820*F820</f>
        <v>0</v>
      </c>
      <c r="H820" s="2">
        <v>0</v>
      </c>
      <c r="I820" s="2">
        <f>ROUND(H820-G820, 2)</f>
        <v>0</v>
      </c>
      <c r="J820">
        <f>IF(ABS(I820)&gt;0.01, "Priority 3", "None")</f>
        <v>0</v>
      </c>
    </row>
    <row r="821" spans="1:10">
      <c r="A821" t="s">
        <v>1893</v>
      </c>
      <c r="B821" t="s">
        <v>1757</v>
      </c>
      <c r="C821">
        <v>45</v>
      </c>
      <c r="D821">
        <v>48.3</v>
      </c>
      <c r="E821">
        <f>MAX(ROUNDUP(D821, 0), C821)</f>
        <v>0</v>
      </c>
      <c r="F821" s="2">
        <v>7.55</v>
      </c>
      <c r="G821" s="2">
        <f>E821*F821</f>
        <v>0</v>
      </c>
      <c r="H821" s="2">
        <v>0</v>
      </c>
      <c r="I821" s="2">
        <f>ROUND(H821-G821, 2)</f>
        <v>0</v>
      </c>
      <c r="J821">
        <f>IF(ABS(I821)&gt;0.01, "Priority 3", "None")</f>
        <v>0</v>
      </c>
    </row>
    <row r="822" spans="1:10">
      <c r="A822" t="s">
        <v>1894</v>
      </c>
      <c r="B822" t="s">
        <v>1757</v>
      </c>
      <c r="C822">
        <v>80</v>
      </c>
      <c r="D822">
        <v>45</v>
      </c>
      <c r="E822">
        <f>MAX(ROUNDUP(D822, 0), C822)</f>
        <v>0</v>
      </c>
      <c r="F822" s="2">
        <v>7.55</v>
      </c>
      <c r="G822" s="2">
        <f>E822*F822</f>
        <v>0</v>
      </c>
      <c r="H822" s="2">
        <v>0</v>
      </c>
      <c r="I822" s="2">
        <f>ROUND(H822-G822, 2)</f>
        <v>0</v>
      </c>
      <c r="J822">
        <f>IF(ABS(I822)&gt;0.01, "Priority 3", "None")</f>
        <v>0</v>
      </c>
    </row>
    <row r="823" spans="1:10">
      <c r="A823" t="s">
        <v>1895</v>
      </c>
      <c r="B823" t="s">
        <v>1757</v>
      </c>
      <c r="C823">
        <v>28</v>
      </c>
      <c r="D823">
        <v>40.5</v>
      </c>
      <c r="E823">
        <f>MAX(ROUNDUP(D823, 0), C823)</f>
        <v>0</v>
      </c>
      <c r="F823" s="2">
        <v>7.55</v>
      </c>
      <c r="G823" s="2">
        <f>E823*F823</f>
        <v>0</v>
      </c>
      <c r="H823" s="2">
        <v>0</v>
      </c>
      <c r="I823" s="2">
        <f>ROUND(H823-G823, 2)</f>
        <v>0</v>
      </c>
      <c r="J823">
        <f>IF(ABS(I823)&gt;0.01, "Priority 3", "None")</f>
        <v>0</v>
      </c>
    </row>
    <row r="824" spans="1:10">
      <c r="A824" t="s">
        <v>1896</v>
      </c>
      <c r="B824" t="s">
        <v>1757</v>
      </c>
      <c r="C824">
        <v>24</v>
      </c>
      <c r="D824">
        <v>34.6</v>
      </c>
      <c r="E824">
        <f>MAX(ROUNDUP(D824, 0), C824)</f>
        <v>0</v>
      </c>
      <c r="F824" s="2">
        <v>7.55</v>
      </c>
      <c r="G824" s="2">
        <f>E824*F824</f>
        <v>0</v>
      </c>
      <c r="H824" s="2">
        <v>0</v>
      </c>
      <c r="I824" s="2">
        <f>ROUND(H824-G824, 2)</f>
        <v>0</v>
      </c>
      <c r="J824">
        <f>IF(ABS(I824)&gt;0.01, "Priority 3", "None")</f>
        <v>0</v>
      </c>
    </row>
    <row r="825" spans="1:10">
      <c r="A825" t="s">
        <v>1897</v>
      </c>
      <c r="B825" t="s">
        <v>1757</v>
      </c>
      <c r="C825">
        <v>24</v>
      </c>
      <c r="D825">
        <v>27.9</v>
      </c>
      <c r="E825">
        <f>MAX(ROUNDUP(D825, 0), C825)</f>
        <v>0</v>
      </c>
      <c r="F825" s="2">
        <v>7.55</v>
      </c>
      <c r="G825" s="2">
        <f>E825*F825</f>
        <v>0</v>
      </c>
      <c r="H825" s="2">
        <v>0</v>
      </c>
      <c r="I825" s="2">
        <f>ROUND(H825-G825, 2)</f>
        <v>0</v>
      </c>
      <c r="J825">
        <f>IF(ABS(I825)&gt;0.01, "Priority 3", "None")</f>
        <v>0</v>
      </c>
    </row>
    <row r="826" spans="1:10">
      <c r="A826" t="s">
        <v>1898</v>
      </c>
      <c r="B826" t="s">
        <v>1757</v>
      </c>
      <c r="C826">
        <v>60</v>
      </c>
      <c r="D826">
        <v>49.7</v>
      </c>
      <c r="E826">
        <f>MAX(ROUNDUP(D826, 0), C826)</f>
        <v>0</v>
      </c>
      <c r="F826" s="2">
        <v>7.55</v>
      </c>
      <c r="G826" s="2">
        <f>E826*F826</f>
        <v>0</v>
      </c>
      <c r="H826" s="2">
        <v>0</v>
      </c>
      <c r="I826" s="2">
        <f>ROUND(H826-G826, 2)</f>
        <v>0</v>
      </c>
      <c r="J826">
        <f>IF(ABS(I826)&gt;0.01, "Priority 3", "None")</f>
        <v>0</v>
      </c>
    </row>
    <row r="827" spans="1:10">
      <c r="A827" t="s">
        <v>1899</v>
      </c>
      <c r="B827" t="s">
        <v>1757</v>
      </c>
      <c r="C827">
        <v>50</v>
      </c>
      <c r="D827">
        <v>42</v>
      </c>
      <c r="E827">
        <f>MAX(ROUNDUP(D827, 0), C827)</f>
        <v>0</v>
      </c>
      <c r="F827" s="2">
        <v>7.55</v>
      </c>
      <c r="G827" s="2">
        <f>E827*F827</f>
        <v>0</v>
      </c>
      <c r="H827" s="2">
        <v>0</v>
      </c>
      <c r="I827" s="2">
        <f>ROUND(H827-G827, 2)</f>
        <v>0</v>
      </c>
      <c r="J827">
        <f>IF(ABS(I827)&gt;0.01, "Priority 3", "None")</f>
        <v>0</v>
      </c>
    </row>
    <row r="828" spans="1:10">
      <c r="A828" t="s">
        <v>1900</v>
      </c>
      <c r="B828" t="s">
        <v>1757</v>
      </c>
      <c r="C828">
        <v>50</v>
      </c>
      <c r="D828">
        <v>37.4</v>
      </c>
      <c r="E828">
        <f>MAX(ROUNDUP(D828, 0), C828)</f>
        <v>0</v>
      </c>
      <c r="F828" s="2">
        <v>7.55</v>
      </c>
      <c r="G828" s="2">
        <f>E828*F828</f>
        <v>0</v>
      </c>
      <c r="H828" s="2">
        <v>0</v>
      </c>
      <c r="I828" s="2">
        <f>ROUND(H828-G828, 2)</f>
        <v>0</v>
      </c>
      <c r="J828">
        <f>IF(ABS(I828)&gt;0.01, "Priority 3", "None")</f>
        <v>0</v>
      </c>
    </row>
    <row r="829" spans="1:10">
      <c r="A829" t="s">
        <v>1901</v>
      </c>
      <c r="B829" t="s">
        <v>1757</v>
      </c>
      <c r="C829">
        <v>50</v>
      </c>
      <c r="D829">
        <v>59.7</v>
      </c>
      <c r="E829">
        <f>MAX(ROUNDUP(D829, 0), C829)</f>
        <v>0</v>
      </c>
      <c r="F829" s="2">
        <v>7.55</v>
      </c>
      <c r="G829" s="2">
        <f>E829*F829</f>
        <v>0</v>
      </c>
      <c r="H829" s="2">
        <v>0</v>
      </c>
      <c r="I829" s="2">
        <f>ROUND(H829-G829, 2)</f>
        <v>0</v>
      </c>
      <c r="J829">
        <f>IF(ABS(I829)&gt;0.01, "Priority 3", "None")</f>
        <v>0</v>
      </c>
    </row>
    <row r="830" spans="1:10">
      <c r="A830" t="s">
        <v>1902</v>
      </c>
      <c r="B830" t="s">
        <v>1757</v>
      </c>
      <c r="C830">
        <v>32</v>
      </c>
      <c r="D830">
        <v>39.4</v>
      </c>
      <c r="E830">
        <f>MAX(ROUNDUP(D830, 0), C830)</f>
        <v>0</v>
      </c>
      <c r="F830" s="2">
        <v>7.55</v>
      </c>
      <c r="G830" s="2">
        <f>E830*F830</f>
        <v>0</v>
      </c>
      <c r="H830" s="2">
        <v>0</v>
      </c>
      <c r="I830" s="2">
        <f>ROUND(H830-G830, 2)</f>
        <v>0</v>
      </c>
      <c r="J830">
        <f>IF(ABS(I830)&gt;0.01, "Priority 3", "None")</f>
        <v>0</v>
      </c>
    </row>
    <row r="831" spans="1:10">
      <c r="A831" t="s">
        <v>1903</v>
      </c>
      <c r="B831" t="s">
        <v>1757</v>
      </c>
      <c r="C831">
        <v>45</v>
      </c>
      <c r="D831">
        <v>37</v>
      </c>
      <c r="E831">
        <f>MAX(ROUNDUP(D831, 0), C831)</f>
        <v>0</v>
      </c>
      <c r="F831" s="2">
        <v>7.55</v>
      </c>
      <c r="G831" s="2">
        <f>E831*F831</f>
        <v>0</v>
      </c>
      <c r="H831" s="2">
        <v>0</v>
      </c>
      <c r="I831" s="2">
        <f>ROUND(H831-G831, 2)</f>
        <v>0</v>
      </c>
      <c r="J831">
        <f>IF(ABS(I831)&gt;0.01, "Priority 3", "None")</f>
        <v>0</v>
      </c>
    </row>
    <row r="832" spans="1:10">
      <c r="A832" t="s">
        <v>1904</v>
      </c>
      <c r="B832" t="s">
        <v>1757</v>
      </c>
      <c r="C832">
        <v>45</v>
      </c>
      <c r="D832">
        <v>46.2</v>
      </c>
      <c r="E832">
        <f>MAX(ROUNDUP(D832, 0), C832)</f>
        <v>0</v>
      </c>
      <c r="F832" s="2">
        <v>7.55</v>
      </c>
      <c r="G832" s="2">
        <f>E832*F832</f>
        <v>0</v>
      </c>
      <c r="H832" s="2">
        <v>0</v>
      </c>
      <c r="I832" s="2">
        <f>ROUND(H832-G832, 2)</f>
        <v>0</v>
      </c>
      <c r="J832">
        <f>IF(ABS(I832)&gt;0.01, "Priority 3", "None")</f>
        <v>0</v>
      </c>
    </row>
    <row r="833" spans="1:10">
      <c r="A833" t="s">
        <v>1905</v>
      </c>
      <c r="B833" t="s">
        <v>1757</v>
      </c>
      <c r="C833">
        <v>45</v>
      </c>
      <c r="D833">
        <v>59.8</v>
      </c>
      <c r="E833">
        <f>MAX(ROUNDUP(D833, 0), C833)</f>
        <v>0</v>
      </c>
      <c r="F833" s="2">
        <v>7.55</v>
      </c>
      <c r="G833" s="2">
        <f>E833*F833</f>
        <v>0</v>
      </c>
      <c r="H833" s="2">
        <v>0</v>
      </c>
      <c r="I833" s="2">
        <f>ROUND(H833-G833, 2)</f>
        <v>0</v>
      </c>
      <c r="J833">
        <f>IF(ABS(I833)&gt;0.01, "Priority 3", "None")</f>
        <v>0</v>
      </c>
    </row>
    <row r="834" spans="1:10">
      <c r="A834" t="s">
        <v>1906</v>
      </c>
      <c r="B834" t="s">
        <v>1757</v>
      </c>
      <c r="C834">
        <v>40</v>
      </c>
      <c r="D834">
        <v>31.6</v>
      </c>
      <c r="E834">
        <f>MAX(ROUNDUP(D834, 0), C834)</f>
        <v>0</v>
      </c>
      <c r="F834" s="2">
        <v>7.55</v>
      </c>
      <c r="G834" s="2">
        <f>E834*F834</f>
        <v>0</v>
      </c>
      <c r="H834" s="2">
        <v>0</v>
      </c>
      <c r="I834" s="2">
        <f>ROUND(H834-G834, 2)</f>
        <v>0</v>
      </c>
      <c r="J834">
        <f>IF(ABS(I834)&gt;0.01, "Priority 3", "None")</f>
        <v>0</v>
      </c>
    </row>
    <row r="835" spans="1:10">
      <c r="A835" t="s">
        <v>1907</v>
      </c>
      <c r="B835" t="s">
        <v>1757</v>
      </c>
      <c r="C835">
        <v>28</v>
      </c>
      <c r="D835">
        <v>38.3</v>
      </c>
      <c r="E835">
        <f>MAX(ROUNDUP(D835, 0), C835)</f>
        <v>0</v>
      </c>
      <c r="F835" s="2">
        <v>7.55</v>
      </c>
      <c r="G835" s="2">
        <f>E835*F835</f>
        <v>0</v>
      </c>
      <c r="H835" s="2">
        <v>0</v>
      </c>
      <c r="I835" s="2">
        <f>ROUND(H835-G835, 2)</f>
        <v>0</v>
      </c>
      <c r="J835">
        <f>IF(ABS(I835)&gt;0.01, "Priority 3", "None")</f>
        <v>0</v>
      </c>
    </row>
    <row r="836" spans="1:10">
      <c r="A836" t="s">
        <v>1908</v>
      </c>
      <c r="B836" t="s">
        <v>1757</v>
      </c>
      <c r="C836">
        <v>36</v>
      </c>
      <c r="D836">
        <v>55.4</v>
      </c>
      <c r="E836">
        <f>MAX(ROUNDUP(D836, 0), C836)</f>
        <v>0</v>
      </c>
      <c r="F836" s="2">
        <v>7.55</v>
      </c>
      <c r="G836" s="2">
        <f>E836*F836</f>
        <v>0</v>
      </c>
      <c r="H836" s="2">
        <v>0</v>
      </c>
      <c r="I836" s="2">
        <f>ROUND(H836-G836, 2)</f>
        <v>0</v>
      </c>
      <c r="J836">
        <f>IF(ABS(I836)&gt;0.01, "Priority 3", "None")</f>
        <v>0</v>
      </c>
    </row>
    <row r="837" spans="1:10">
      <c r="A837" t="s">
        <v>1909</v>
      </c>
      <c r="B837" t="s">
        <v>1757</v>
      </c>
      <c r="C837">
        <v>45</v>
      </c>
      <c r="D837">
        <v>57.4</v>
      </c>
      <c r="E837">
        <f>MAX(ROUNDUP(D837, 0), C837)</f>
        <v>0</v>
      </c>
      <c r="F837" s="2">
        <v>7.55</v>
      </c>
      <c r="G837" s="2">
        <f>E837*F837</f>
        <v>0</v>
      </c>
      <c r="H837" s="2">
        <v>0</v>
      </c>
      <c r="I837" s="2">
        <f>ROUND(H837-G837, 2)</f>
        <v>0</v>
      </c>
      <c r="J837">
        <f>IF(ABS(I837)&gt;0.01, "Priority 3", "None")</f>
        <v>0</v>
      </c>
    </row>
    <row r="838" spans="1:10">
      <c r="A838" t="s">
        <v>1910</v>
      </c>
      <c r="B838" t="s">
        <v>1757</v>
      </c>
      <c r="C838">
        <v>28</v>
      </c>
      <c r="D838">
        <v>43.1</v>
      </c>
      <c r="E838">
        <f>MAX(ROUNDUP(D838, 0), C838)</f>
        <v>0</v>
      </c>
      <c r="F838" s="2">
        <v>7.55</v>
      </c>
      <c r="G838" s="2">
        <f>E838*F838</f>
        <v>0</v>
      </c>
      <c r="H838" s="2">
        <v>0</v>
      </c>
      <c r="I838" s="2">
        <f>ROUND(H838-G838, 2)</f>
        <v>0</v>
      </c>
      <c r="J838">
        <f>IF(ABS(I838)&gt;0.01, "Priority 3", "None")</f>
        <v>0</v>
      </c>
    </row>
    <row r="839" spans="1:10">
      <c r="A839" t="s">
        <v>1911</v>
      </c>
      <c r="B839" t="s">
        <v>1757</v>
      </c>
      <c r="C839">
        <v>70</v>
      </c>
      <c r="D839">
        <v>29.2</v>
      </c>
      <c r="E839">
        <f>MAX(ROUNDUP(D839, 0), C839)</f>
        <v>0</v>
      </c>
      <c r="F839" s="2">
        <v>7.55</v>
      </c>
      <c r="G839" s="2">
        <f>E839*F839</f>
        <v>0</v>
      </c>
      <c r="H839" s="2">
        <v>0</v>
      </c>
      <c r="I839" s="2">
        <f>ROUND(H839-G839, 2)</f>
        <v>0</v>
      </c>
      <c r="J839">
        <f>IF(ABS(I839)&gt;0.01, "Priority 3", "None")</f>
        <v>0</v>
      </c>
    </row>
    <row r="840" spans="1:10">
      <c r="A840" t="s">
        <v>1912</v>
      </c>
      <c r="B840" t="s">
        <v>1757</v>
      </c>
      <c r="C840">
        <v>70</v>
      </c>
      <c r="D840">
        <v>30.5</v>
      </c>
      <c r="E840">
        <f>MAX(ROUNDUP(D840, 0), C840)</f>
        <v>0</v>
      </c>
      <c r="F840" s="2">
        <v>7.55</v>
      </c>
      <c r="G840" s="2">
        <f>E840*F840</f>
        <v>0</v>
      </c>
      <c r="H840" s="2">
        <v>0</v>
      </c>
      <c r="I840" s="2">
        <f>ROUND(H840-G840, 2)</f>
        <v>0</v>
      </c>
      <c r="J840">
        <f>IF(ABS(I840)&gt;0.01, "Priority 3", "None")</f>
        <v>0</v>
      </c>
    </row>
    <row r="841" spans="1:10">
      <c r="A841" t="s">
        <v>1913</v>
      </c>
      <c r="B841" t="s">
        <v>1757</v>
      </c>
      <c r="C841">
        <v>45</v>
      </c>
      <c r="D841">
        <v>34.6</v>
      </c>
      <c r="E841">
        <f>MAX(ROUNDUP(D841, 0), C841)</f>
        <v>0</v>
      </c>
      <c r="F841" s="2">
        <v>7.55</v>
      </c>
      <c r="G841" s="2">
        <f>E841*F841</f>
        <v>0</v>
      </c>
      <c r="H841" s="2">
        <v>0</v>
      </c>
      <c r="I841" s="2">
        <f>ROUND(H841-G841, 2)</f>
        <v>0</v>
      </c>
      <c r="J841">
        <f>IF(ABS(I841)&gt;0.01, "Priority 3", "None")</f>
        <v>0</v>
      </c>
    </row>
    <row r="842" spans="1:10">
      <c r="A842" t="s">
        <v>1914</v>
      </c>
      <c r="B842" t="s">
        <v>1757</v>
      </c>
      <c r="C842">
        <v>28</v>
      </c>
      <c r="D842">
        <v>48.3</v>
      </c>
      <c r="E842">
        <f>MAX(ROUNDUP(D842, 0), C842)</f>
        <v>0</v>
      </c>
      <c r="F842" s="2">
        <v>7.55</v>
      </c>
      <c r="G842" s="2">
        <f>E842*F842</f>
        <v>0</v>
      </c>
      <c r="H842" s="2">
        <v>0</v>
      </c>
      <c r="I842" s="2">
        <f>ROUND(H842-G842, 2)</f>
        <v>0</v>
      </c>
      <c r="J842">
        <f>IF(ABS(I842)&gt;0.01, "Priority 3", "None")</f>
        <v>0</v>
      </c>
    </row>
    <row r="843" spans="1:10">
      <c r="A843" t="s">
        <v>1915</v>
      </c>
      <c r="B843" t="s">
        <v>1757</v>
      </c>
      <c r="C843">
        <v>28</v>
      </c>
      <c r="D843">
        <v>48.7</v>
      </c>
      <c r="E843">
        <f>MAX(ROUNDUP(D843, 0), C843)</f>
        <v>0</v>
      </c>
      <c r="F843" s="2">
        <v>7.55</v>
      </c>
      <c r="G843" s="2">
        <f>E843*F843</f>
        <v>0</v>
      </c>
      <c r="H843" s="2">
        <v>0</v>
      </c>
      <c r="I843" s="2">
        <f>ROUND(H843-G843, 2)</f>
        <v>0</v>
      </c>
      <c r="J843">
        <f>IF(ABS(I843)&gt;0.01, "Priority 3", "None")</f>
        <v>0</v>
      </c>
    </row>
    <row r="844" spans="1:10">
      <c r="A844" t="s">
        <v>1916</v>
      </c>
      <c r="B844" t="s">
        <v>1757</v>
      </c>
      <c r="C844">
        <v>70</v>
      </c>
      <c r="D844">
        <v>33.1</v>
      </c>
      <c r="E844">
        <f>MAX(ROUNDUP(D844, 0), C844)</f>
        <v>0</v>
      </c>
      <c r="F844" s="2">
        <v>7.55</v>
      </c>
      <c r="G844" s="2">
        <f>E844*F844</f>
        <v>0</v>
      </c>
      <c r="H844" s="2">
        <v>0</v>
      </c>
      <c r="I844" s="2">
        <f>ROUND(H844-G844, 2)</f>
        <v>0</v>
      </c>
      <c r="J844">
        <f>IF(ABS(I844)&gt;0.01, "Priority 3", "None")</f>
        <v>0</v>
      </c>
    </row>
    <row r="845" spans="1:10">
      <c r="A845" t="s">
        <v>1917</v>
      </c>
      <c r="B845" t="s">
        <v>1757</v>
      </c>
      <c r="C845">
        <v>70</v>
      </c>
      <c r="D845">
        <v>55.9</v>
      </c>
      <c r="E845">
        <f>MAX(ROUNDUP(D845, 0), C845)</f>
        <v>0</v>
      </c>
      <c r="F845" s="2">
        <v>7.55</v>
      </c>
      <c r="G845" s="2">
        <f>E845*F845</f>
        <v>0</v>
      </c>
      <c r="H845" s="2">
        <v>0</v>
      </c>
      <c r="I845" s="2">
        <f>ROUND(H845-G845, 2)</f>
        <v>0</v>
      </c>
      <c r="J845">
        <f>IF(ABS(I845)&gt;0.01, "Priority 3", "None")</f>
        <v>0</v>
      </c>
    </row>
    <row r="846" spans="1:10">
      <c r="A846" t="s">
        <v>1918</v>
      </c>
      <c r="B846" t="s">
        <v>1757</v>
      </c>
      <c r="C846">
        <v>60</v>
      </c>
      <c r="D846">
        <v>56.6</v>
      </c>
      <c r="E846">
        <f>MAX(ROUNDUP(D846, 0), C846)</f>
        <v>0</v>
      </c>
      <c r="F846" s="2">
        <v>7.55</v>
      </c>
      <c r="G846" s="2">
        <f>E846*F846</f>
        <v>0</v>
      </c>
      <c r="H846" s="2">
        <v>0</v>
      </c>
      <c r="I846" s="2">
        <f>ROUND(H846-G846, 2)</f>
        <v>0</v>
      </c>
      <c r="J846">
        <f>IF(ABS(I846)&gt;0.01, "Priority 3", "None")</f>
        <v>0</v>
      </c>
    </row>
    <row r="847" spans="1:10">
      <c r="A847" t="s">
        <v>1919</v>
      </c>
      <c r="B847" t="s">
        <v>1757</v>
      </c>
      <c r="C847">
        <v>70</v>
      </c>
      <c r="D847">
        <v>56</v>
      </c>
      <c r="E847">
        <f>MAX(ROUNDUP(D847, 0), C847)</f>
        <v>0</v>
      </c>
      <c r="F847" s="2">
        <v>7.55</v>
      </c>
      <c r="G847" s="2">
        <f>E847*F847</f>
        <v>0</v>
      </c>
      <c r="H847" s="2">
        <v>0</v>
      </c>
      <c r="I847" s="2">
        <f>ROUND(H847-G847, 2)</f>
        <v>0</v>
      </c>
      <c r="J847">
        <f>IF(ABS(I847)&gt;0.01, "Priority 3", "None")</f>
        <v>0</v>
      </c>
    </row>
    <row r="848" spans="1:10">
      <c r="A848" t="s">
        <v>1920</v>
      </c>
      <c r="B848" t="s">
        <v>1757</v>
      </c>
      <c r="C848">
        <v>24</v>
      </c>
      <c r="D848">
        <v>43.9</v>
      </c>
      <c r="E848">
        <f>MAX(ROUNDUP(D848, 0), C848)</f>
        <v>0</v>
      </c>
      <c r="F848" s="2">
        <v>7.55</v>
      </c>
      <c r="G848" s="2">
        <f>E848*F848</f>
        <v>0</v>
      </c>
      <c r="H848" s="2">
        <v>0</v>
      </c>
      <c r="I848" s="2">
        <f>ROUND(H848-G848, 2)</f>
        <v>0</v>
      </c>
      <c r="J848">
        <f>IF(ABS(I848)&gt;0.01, "Priority 3", "None")</f>
        <v>0</v>
      </c>
    </row>
    <row r="849" spans="1:10">
      <c r="A849" t="s">
        <v>1921</v>
      </c>
      <c r="B849" t="s">
        <v>1757</v>
      </c>
      <c r="C849">
        <v>28</v>
      </c>
      <c r="D849">
        <v>57.9</v>
      </c>
      <c r="E849">
        <f>MAX(ROUNDUP(D849, 0), C849)</f>
        <v>0</v>
      </c>
      <c r="F849" s="2">
        <v>7.55</v>
      </c>
      <c r="G849" s="2">
        <f>E849*F849</f>
        <v>0</v>
      </c>
      <c r="H849" s="2">
        <v>0</v>
      </c>
      <c r="I849" s="2">
        <f>ROUND(H849-G849, 2)</f>
        <v>0</v>
      </c>
      <c r="J849">
        <f>IF(ABS(I849)&gt;0.01, "Priority 3", "None")</f>
        <v>0</v>
      </c>
    </row>
    <row r="850" spans="1:10">
      <c r="A850" t="s">
        <v>1922</v>
      </c>
      <c r="B850" t="s">
        <v>1757</v>
      </c>
      <c r="C850">
        <v>24</v>
      </c>
      <c r="D850">
        <v>48.4</v>
      </c>
      <c r="E850">
        <f>MAX(ROUNDUP(D850, 0), C850)</f>
        <v>0</v>
      </c>
      <c r="F850" s="2">
        <v>7.55</v>
      </c>
      <c r="G850" s="2">
        <f>E850*F850</f>
        <v>0</v>
      </c>
      <c r="H850" s="2">
        <v>0</v>
      </c>
      <c r="I850" s="2">
        <f>ROUND(H850-G850, 2)</f>
        <v>0</v>
      </c>
      <c r="J850">
        <f>IF(ABS(I850)&gt;0.01, "Priority 3", "None")</f>
        <v>0</v>
      </c>
    </row>
    <row r="851" spans="1:10">
      <c r="A851" t="s">
        <v>1923</v>
      </c>
      <c r="B851" t="s">
        <v>1757</v>
      </c>
      <c r="C851">
        <v>24</v>
      </c>
      <c r="D851">
        <v>27.3</v>
      </c>
      <c r="E851">
        <f>MAX(ROUNDUP(D851, 0), C851)</f>
        <v>0</v>
      </c>
      <c r="F851" s="2">
        <v>7.55</v>
      </c>
      <c r="G851" s="2">
        <f>E851*F851</f>
        <v>0</v>
      </c>
      <c r="H851" s="2">
        <v>0</v>
      </c>
      <c r="I851" s="2">
        <f>ROUND(H851-G851, 2)</f>
        <v>0</v>
      </c>
      <c r="J851">
        <f>IF(ABS(I851)&gt;0.01, "Priority 3", "None")</f>
        <v>0</v>
      </c>
    </row>
    <row r="852" spans="1:10">
      <c r="A852" t="s">
        <v>1924</v>
      </c>
      <c r="B852" t="s">
        <v>1757</v>
      </c>
      <c r="C852">
        <v>60</v>
      </c>
      <c r="D852">
        <v>29.8</v>
      </c>
      <c r="E852">
        <f>MAX(ROUNDUP(D852, 0), C852)</f>
        <v>0</v>
      </c>
      <c r="F852" s="2">
        <v>7.55</v>
      </c>
      <c r="G852" s="2">
        <f>E852*F852</f>
        <v>0</v>
      </c>
      <c r="H852" s="2">
        <v>0</v>
      </c>
      <c r="I852" s="2">
        <f>ROUND(H852-G852, 2)</f>
        <v>0</v>
      </c>
      <c r="J852">
        <f>IF(ABS(I852)&gt;0.01, "Priority 3", "None")</f>
        <v>0</v>
      </c>
    </row>
    <row r="853" spans="1:10">
      <c r="A853" t="s">
        <v>1925</v>
      </c>
      <c r="B853" t="s">
        <v>1757</v>
      </c>
      <c r="C853">
        <v>24</v>
      </c>
      <c r="D853">
        <v>45.8</v>
      </c>
      <c r="E853">
        <f>MAX(ROUNDUP(D853, 0), C853)</f>
        <v>0</v>
      </c>
      <c r="F853" s="2">
        <v>7.55</v>
      </c>
      <c r="G853" s="2">
        <f>E853*F853</f>
        <v>0</v>
      </c>
      <c r="H853" s="2">
        <v>0</v>
      </c>
      <c r="I853" s="2">
        <f>ROUND(H853-G853, 2)</f>
        <v>0</v>
      </c>
      <c r="J853">
        <f>IF(ABS(I853)&gt;0.01, "Priority 3", "None")</f>
        <v>0</v>
      </c>
    </row>
    <row r="854" spans="1:10">
      <c r="A854" t="s">
        <v>1926</v>
      </c>
      <c r="B854" t="s">
        <v>1757</v>
      </c>
      <c r="C854">
        <v>36</v>
      </c>
      <c r="D854">
        <v>59.7</v>
      </c>
      <c r="E854">
        <f>MAX(ROUNDUP(D854, 0), C854)</f>
        <v>0</v>
      </c>
      <c r="F854" s="2">
        <v>7.55</v>
      </c>
      <c r="G854" s="2">
        <f>E854*F854</f>
        <v>0</v>
      </c>
      <c r="H854" s="2">
        <v>0</v>
      </c>
      <c r="I854" s="2">
        <f>ROUND(H854-G854, 2)</f>
        <v>0</v>
      </c>
      <c r="J854">
        <f>IF(ABS(I854)&gt;0.01, "Priority 3", "None")</f>
        <v>0</v>
      </c>
    </row>
    <row r="855" spans="1:10">
      <c r="A855" t="s">
        <v>1927</v>
      </c>
      <c r="B855" t="s">
        <v>1757</v>
      </c>
      <c r="C855">
        <v>36</v>
      </c>
      <c r="D855">
        <v>59.9</v>
      </c>
      <c r="E855">
        <f>MAX(ROUNDUP(D855, 0), C855)</f>
        <v>0</v>
      </c>
      <c r="F855" s="2">
        <v>7.55</v>
      </c>
      <c r="G855" s="2">
        <f>E855*F855</f>
        <v>0</v>
      </c>
      <c r="H855" s="2">
        <v>0</v>
      </c>
      <c r="I855" s="2">
        <f>ROUND(H855-G855, 2)</f>
        <v>0</v>
      </c>
      <c r="J855">
        <f>IF(ABS(I855)&gt;0.01, "Priority 3", "None")</f>
        <v>0</v>
      </c>
    </row>
    <row r="856" spans="1:10">
      <c r="A856" t="s">
        <v>1928</v>
      </c>
      <c r="B856" t="s">
        <v>1757</v>
      </c>
      <c r="C856">
        <v>32</v>
      </c>
      <c r="D856">
        <v>49.7</v>
      </c>
      <c r="E856">
        <f>MAX(ROUNDUP(D856, 0), C856)</f>
        <v>0</v>
      </c>
      <c r="F856" s="2">
        <v>7.55</v>
      </c>
      <c r="G856" s="2">
        <f>E856*F856</f>
        <v>0</v>
      </c>
      <c r="H856" s="2">
        <v>0</v>
      </c>
      <c r="I856" s="2">
        <f>ROUND(H856-G856, 2)</f>
        <v>0</v>
      </c>
      <c r="J856">
        <f>IF(ABS(I856)&gt;0.01, "Priority 3", "None")</f>
        <v>0</v>
      </c>
    </row>
    <row r="857" spans="1:10">
      <c r="A857" t="s">
        <v>1929</v>
      </c>
      <c r="B857" t="s">
        <v>1757</v>
      </c>
      <c r="C857">
        <v>50</v>
      </c>
      <c r="D857">
        <v>38.9</v>
      </c>
      <c r="E857">
        <f>MAX(ROUNDUP(D857, 0), C857)</f>
        <v>0</v>
      </c>
      <c r="F857" s="2">
        <v>7.55</v>
      </c>
      <c r="G857" s="2">
        <f>E857*F857</f>
        <v>0</v>
      </c>
      <c r="H857" s="2">
        <v>0</v>
      </c>
      <c r="I857" s="2">
        <f>ROUND(H857-G857, 2)</f>
        <v>0</v>
      </c>
      <c r="J857">
        <f>IF(ABS(I857)&gt;0.01, "Priority 3", "None")</f>
        <v>0</v>
      </c>
    </row>
    <row r="858" spans="1:10">
      <c r="A858" t="s">
        <v>1930</v>
      </c>
      <c r="B858" t="s">
        <v>1757</v>
      </c>
      <c r="C858">
        <v>45</v>
      </c>
      <c r="D858">
        <v>53.3</v>
      </c>
      <c r="E858">
        <f>MAX(ROUNDUP(D858, 0), C858)</f>
        <v>0</v>
      </c>
      <c r="F858" s="2">
        <v>7.55</v>
      </c>
      <c r="G858" s="2">
        <f>E858*F858</f>
        <v>0</v>
      </c>
      <c r="H858" s="2">
        <v>0</v>
      </c>
      <c r="I858" s="2">
        <f>ROUND(H858-G858, 2)</f>
        <v>0</v>
      </c>
      <c r="J858">
        <f>IF(ABS(I858)&gt;0.01, "Priority 3", "None")</f>
        <v>0</v>
      </c>
    </row>
    <row r="859" spans="1:10">
      <c r="A859" t="s">
        <v>1931</v>
      </c>
      <c r="B859" t="s">
        <v>1757</v>
      </c>
      <c r="C859">
        <v>45</v>
      </c>
      <c r="D859">
        <v>25.5</v>
      </c>
      <c r="E859">
        <f>MAX(ROUNDUP(D859, 0), C859)</f>
        <v>0</v>
      </c>
      <c r="F859" s="2">
        <v>7.55</v>
      </c>
      <c r="G859" s="2">
        <f>E859*F859</f>
        <v>0</v>
      </c>
      <c r="H859" s="2">
        <v>0</v>
      </c>
      <c r="I859" s="2">
        <f>ROUND(H859-G859, 2)</f>
        <v>0</v>
      </c>
      <c r="J859">
        <f>IF(ABS(I859)&gt;0.01, "Priority 3", "None")</f>
        <v>0</v>
      </c>
    </row>
    <row r="860" spans="1:10">
      <c r="A860" t="s">
        <v>1932</v>
      </c>
      <c r="B860" t="s">
        <v>1757</v>
      </c>
      <c r="C860">
        <v>24</v>
      </c>
      <c r="D860">
        <v>50.9</v>
      </c>
      <c r="E860">
        <f>MAX(ROUNDUP(D860, 0), C860)</f>
        <v>0</v>
      </c>
      <c r="F860" s="2">
        <v>7.55</v>
      </c>
      <c r="G860" s="2">
        <f>E860*F860</f>
        <v>0</v>
      </c>
      <c r="H860" s="2">
        <v>0</v>
      </c>
      <c r="I860" s="2">
        <f>ROUND(H860-G860, 2)</f>
        <v>0</v>
      </c>
      <c r="J860">
        <f>IF(ABS(I860)&gt;0.01, "Priority 3", "None")</f>
        <v>0</v>
      </c>
    </row>
    <row r="861" spans="1:10">
      <c r="A861" t="s">
        <v>1933</v>
      </c>
      <c r="B861" t="s">
        <v>1757</v>
      </c>
      <c r="C861">
        <v>40</v>
      </c>
      <c r="D861">
        <v>29</v>
      </c>
      <c r="E861">
        <f>MAX(ROUNDUP(D861, 0), C861)</f>
        <v>0</v>
      </c>
      <c r="F861" s="2">
        <v>7.55</v>
      </c>
      <c r="G861" s="2">
        <f>E861*F861</f>
        <v>0</v>
      </c>
      <c r="H861" s="2">
        <v>0</v>
      </c>
      <c r="I861" s="2">
        <f>ROUND(H861-G861, 2)</f>
        <v>0</v>
      </c>
      <c r="J861">
        <f>IF(ABS(I861)&gt;0.01, "Priority 3", "None")</f>
        <v>0</v>
      </c>
    </row>
    <row r="862" spans="1:10">
      <c r="A862" t="s">
        <v>1934</v>
      </c>
      <c r="B862" t="s">
        <v>1757</v>
      </c>
      <c r="C862">
        <v>50</v>
      </c>
      <c r="D862">
        <v>25.9</v>
      </c>
      <c r="E862">
        <f>MAX(ROUNDUP(D862, 0), C862)</f>
        <v>0</v>
      </c>
      <c r="F862" s="2">
        <v>7.55</v>
      </c>
      <c r="G862" s="2">
        <f>E862*F862</f>
        <v>0</v>
      </c>
      <c r="H862" s="2">
        <v>0</v>
      </c>
      <c r="I862" s="2">
        <f>ROUND(H862-G862, 2)</f>
        <v>0</v>
      </c>
      <c r="J862">
        <f>IF(ABS(I862)&gt;0.01, "Priority 3", "None")</f>
        <v>0</v>
      </c>
    </row>
    <row r="863" spans="1:10">
      <c r="A863" t="s">
        <v>1935</v>
      </c>
      <c r="B863" t="s">
        <v>1757</v>
      </c>
      <c r="C863">
        <v>32</v>
      </c>
      <c r="D863">
        <v>36.5</v>
      </c>
      <c r="E863">
        <f>MAX(ROUNDUP(D863, 0), C863)</f>
        <v>0</v>
      </c>
      <c r="F863" s="2">
        <v>7.55</v>
      </c>
      <c r="G863" s="2">
        <f>E863*F863</f>
        <v>0</v>
      </c>
      <c r="H863" s="2">
        <v>0</v>
      </c>
      <c r="I863" s="2">
        <f>ROUND(H863-G863, 2)</f>
        <v>0</v>
      </c>
      <c r="J863">
        <f>IF(ABS(I863)&gt;0.01, "Priority 3", "None")</f>
        <v>0</v>
      </c>
    </row>
    <row r="864" spans="1:10">
      <c r="A864" t="s">
        <v>1936</v>
      </c>
      <c r="B864" t="s">
        <v>1757</v>
      </c>
      <c r="C864">
        <v>32</v>
      </c>
      <c r="D864">
        <v>59</v>
      </c>
      <c r="E864">
        <f>MAX(ROUNDUP(D864, 0), C864)</f>
        <v>0</v>
      </c>
      <c r="F864" s="2">
        <v>7.55</v>
      </c>
      <c r="G864" s="2">
        <f>E864*F864</f>
        <v>0</v>
      </c>
      <c r="H864" s="2">
        <v>0</v>
      </c>
      <c r="I864" s="2">
        <f>ROUND(H864-G864, 2)</f>
        <v>0</v>
      </c>
      <c r="J864">
        <f>IF(ABS(I864)&gt;0.01, "Priority 3", "None")</f>
        <v>0</v>
      </c>
    </row>
    <row r="865" spans="1:10">
      <c r="A865" t="s">
        <v>1937</v>
      </c>
      <c r="B865" t="s">
        <v>1757</v>
      </c>
      <c r="C865">
        <v>28</v>
      </c>
      <c r="D865">
        <v>53.1</v>
      </c>
      <c r="E865">
        <f>MAX(ROUNDUP(D865, 0), C865)</f>
        <v>0</v>
      </c>
      <c r="F865" s="2">
        <v>7.55</v>
      </c>
      <c r="G865" s="2">
        <f>E865*F865</f>
        <v>0</v>
      </c>
      <c r="H865" s="2">
        <v>0</v>
      </c>
      <c r="I865" s="2">
        <f>ROUND(H865-G865, 2)</f>
        <v>0</v>
      </c>
      <c r="J865">
        <f>IF(ABS(I865)&gt;0.01, "Priority 3", "None")</f>
        <v>0</v>
      </c>
    </row>
    <row r="866" spans="1:10">
      <c r="A866" t="s">
        <v>1938</v>
      </c>
      <c r="B866" t="s">
        <v>1757</v>
      </c>
      <c r="C866">
        <v>24</v>
      </c>
      <c r="D866">
        <v>45.4</v>
      </c>
      <c r="E866">
        <f>MAX(ROUNDUP(D866, 0), C866)</f>
        <v>0</v>
      </c>
      <c r="F866" s="2">
        <v>7.55</v>
      </c>
      <c r="G866" s="2">
        <f>E866*F866</f>
        <v>0</v>
      </c>
      <c r="H866" s="2">
        <v>0</v>
      </c>
      <c r="I866" s="2">
        <f>ROUND(H866-G866, 2)</f>
        <v>0</v>
      </c>
      <c r="J866">
        <f>IF(ABS(I866)&gt;0.01, "Priority 3", "None")</f>
        <v>0</v>
      </c>
    </row>
    <row r="867" spans="1:10">
      <c r="A867" t="s">
        <v>1939</v>
      </c>
      <c r="B867" t="s">
        <v>1757</v>
      </c>
      <c r="C867">
        <v>32</v>
      </c>
      <c r="D867">
        <v>55.2</v>
      </c>
      <c r="E867">
        <f>MAX(ROUNDUP(D867, 0), C867)</f>
        <v>0</v>
      </c>
      <c r="F867" s="2">
        <v>7.55</v>
      </c>
      <c r="G867" s="2">
        <f>E867*F867</f>
        <v>0</v>
      </c>
      <c r="H867" s="2">
        <v>0</v>
      </c>
      <c r="I867" s="2">
        <f>ROUND(H867-G867, 2)</f>
        <v>0</v>
      </c>
      <c r="J867">
        <f>IF(ABS(I867)&gt;0.01, "Priority 3", "None")</f>
        <v>0</v>
      </c>
    </row>
    <row r="868" spans="1:10">
      <c r="A868" t="s">
        <v>1940</v>
      </c>
      <c r="B868" t="s">
        <v>1757</v>
      </c>
      <c r="C868">
        <v>24</v>
      </c>
      <c r="D868">
        <v>61.5</v>
      </c>
      <c r="E868">
        <f>MAX(ROUNDUP(D868, 0), C868)</f>
        <v>0</v>
      </c>
      <c r="F868" s="2">
        <v>7.55</v>
      </c>
      <c r="G868" s="2">
        <f>E868*F868</f>
        <v>0</v>
      </c>
      <c r="H868" s="2">
        <v>0</v>
      </c>
      <c r="I868" s="2">
        <f>ROUND(H868-G868, 2)</f>
        <v>0</v>
      </c>
      <c r="J868">
        <f>IF(ABS(I868)&gt;0.01, "Priority 3", "None")</f>
        <v>0</v>
      </c>
    </row>
    <row r="869" spans="1:10">
      <c r="A869" t="s">
        <v>1941</v>
      </c>
      <c r="B869" t="s">
        <v>1757</v>
      </c>
      <c r="C869">
        <v>24</v>
      </c>
      <c r="D869">
        <v>56.4</v>
      </c>
      <c r="E869">
        <f>MAX(ROUNDUP(D869, 0), C869)</f>
        <v>0</v>
      </c>
      <c r="F869" s="2">
        <v>7.55</v>
      </c>
      <c r="G869" s="2">
        <f>E869*F869</f>
        <v>0</v>
      </c>
      <c r="H869" s="2">
        <v>0</v>
      </c>
      <c r="I869" s="2">
        <f>ROUND(H869-G869, 2)</f>
        <v>0</v>
      </c>
      <c r="J869">
        <f>IF(ABS(I869)&gt;0.01, "Priority 3", "None")</f>
        <v>0</v>
      </c>
    </row>
    <row r="870" spans="1:10">
      <c r="A870" t="s">
        <v>1942</v>
      </c>
      <c r="B870" t="s">
        <v>1757</v>
      </c>
      <c r="C870">
        <v>50</v>
      </c>
      <c r="D870">
        <v>61.6</v>
      </c>
      <c r="E870">
        <f>MAX(ROUNDUP(D870, 0), C870)</f>
        <v>0</v>
      </c>
      <c r="F870" s="2">
        <v>7.55</v>
      </c>
      <c r="G870" s="2">
        <f>E870*F870</f>
        <v>0</v>
      </c>
      <c r="H870" s="2">
        <v>0</v>
      </c>
      <c r="I870" s="2">
        <f>ROUND(H870-G870, 2)</f>
        <v>0</v>
      </c>
      <c r="J870">
        <f>IF(ABS(I870)&gt;0.01, "Priority 3", "None")</f>
        <v>0</v>
      </c>
    </row>
    <row r="871" spans="1:10">
      <c r="A871" t="s">
        <v>1943</v>
      </c>
      <c r="B871" t="s">
        <v>1757</v>
      </c>
      <c r="C871">
        <v>36</v>
      </c>
      <c r="D871">
        <v>53.5</v>
      </c>
      <c r="E871">
        <f>MAX(ROUNDUP(D871, 0), C871)</f>
        <v>0</v>
      </c>
      <c r="F871" s="2">
        <v>7.55</v>
      </c>
      <c r="G871" s="2">
        <f>E871*F871</f>
        <v>0</v>
      </c>
      <c r="H871" s="2">
        <v>0</v>
      </c>
      <c r="I871" s="2">
        <f>ROUND(H871-G871, 2)</f>
        <v>0</v>
      </c>
      <c r="J871">
        <f>IF(ABS(I871)&gt;0.01, "Priority 3", "None")</f>
        <v>0</v>
      </c>
    </row>
    <row r="872" spans="1:10">
      <c r="A872" t="s">
        <v>1944</v>
      </c>
      <c r="B872" t="s">
        <v>1757</v>
      </c>
      <c r="C872">
        <v>28</v>
      </c>
      <c r="D872">
        <v>35.7</v>
      </c>
      <c r="E872">
        <f>MAX(ROUNDUP(D872, 0), C872)</f>
        <v>0</v>
      </c>
      <c r="F872" s="2">
        <v>7.55</v>
      </c>
      <c r="G872" s="2">
        <f>E872*F872</f>
        <v>0</v>
      </c>
      <c r="H872" s="2">
        <v>0</v>
      </c>
      <c r="I872" s="2">
        <f>ROUND(H872-G872, 2)</f>
        <v>0</v>
      </c>
      <c r="J872">
        <f>IF(ABS(I872)&gt;0.01, "Priority 3", "None")</f>
        <v>0</v>
      </c>
    </row>
    <row r="873" spans="1:10">
      <c r="A873" t="s">
        <v>1945</v>
      </c>
      <c r="B873" t="s">
        <v>1757</v>
      </c>
      <c r="C873">
        <v>32</v>
      </c>
      <c r="D873">
        <v>46.7</v>
      </c>
      <c r="E873">
        <f>MAX(ROUNDUP(D873, 0), C873)</f>
        <v>0</v>
      </c>
      <c r="F873" s="2">
        <v>7.55</v>
      </c>
      <c r="G873" s="2">
        <f>E873*F873</f>
        <v>0</v>
      </c>
      <c r="H873" s="2">
        <v>0</v>
      </c>
      <c r="I873" s="2">
        <f>ROUND(H873-G873, 2)</f>
        <v>0</v>
      </c>
      <c r="J873">
        <f>IF(ABS(I873)&gt;0.01, "Priority 3", "None")</f>
        <v>0</v>
      </c>
    </row>
    <row r="874" spans="1:10">
      <c r="A874" t="s">
        <v>1946</v>
      </c>
      <c r="B874" t="s">
        <v>1757</v>
      </c>
      <c r="C874">
        <v>70</v>
      </c>
      <c r="D874">
        <v>47.4</v>
      </c>
      <c r="E874">
        <f>MAX(ROUNDUP(D874, 0), C874)</f>
        <v>0</v>
      </c>
      <c r="F874" s="2">
        <v>7.55</v>
      </c>
      <c r="G874" s="2">
        <f>E874*F874</f>
        <v>0</v>
      </c>
      <c r="H874" s="2">
        <v>0</v>
      </c>
      <c r="I874" s="2">
        <f>ROUND(H874-G874, 2)</f>
        <v>0</v>
      </c>
      <c r="J874">
        <f>IF(ABS(I874)&gt;0.01, "Priority 3", "None")</f>
        <v>0</v>
      </c>
    </row>
    <row r="875" spans="1:10">
      <c r="A875" t="s">
        <v>1947</v>
      </c>
      <c r="B875" t="s">
        <v>1757</v>
      </c>
      <c r="C875">
        <v>70</v>
      </c>
      <c r="D875">
        <v>26.3</v>
      </c>
      <c r="E875">
        <f>MAX(ROUNDUP(D875, 0), C875)</f>
        <v>0</v>
      </c>
      <c r="F875" s="2">
        <v>7.55</v>
      </c>
      <c r="G875" s="2">
        <f>E875*F875</f>
        <v>0</v>
      </c>
      <c r="H875" s="2">
        <v>0</v>
      </c>
      <c r="I875" s="2">
        <f>ROUND(H875-G875, 2)</f>
        <v>0</v>
      </c>
      <c r="J875">
        <f>IF(ABS(I875)&gt;0.01, "Priority 3", "None")</f>
        <v>0</v>
      </c>
    </row>
    <row r="876" spans="1:10">
      <c r="A876" t="s">
        <v>1948</v>
      </c>
      <c r="B876" t="s">
        <v>1757</v>
      </c>
      <c r="C876">
        <v>32</v>
      </c>
      <c r="D876">
        <v>47.2</v>
      </c>
      <c r="E876">
        <f>MAX(ROUNDUP(D876, 0), C876)</f>
        <v>0</v>
      </c>
      <c r="F876" s="2">
        <v>7.55</v>
      </c>
      <c r="G876" s="2">
        <f>E876*F876</f>
        <v>0</v>
      </c>
      <c r="H876" s="2">
        <v>0</v>
      </c>
      <c r="I876" s="2">
        <f>ROUND(H876-G876, 2)</f>
        <v>0</v>
      </c>
      <c r="J876">
        <f>IF(ABS(I876)&gt;0.01, "Priority 3", "None")</f>
        <v>0</v>
      </c>
    </row>
    <row r="877" spans="1:10">
      <c r="A877" t="s">
        <v>1949</v>
      </c>
      <c r="B877" t="s">
        <v>1757</v>
      </c>
      <c r="C877">
        <v>60</v>
      </c>
      <c r="D877">
        <v>36.7</v>
      </c>
      <c r="E877">
        <f>MAX(ROUNDUP(D877, 0), C877)</f>
        <v>0</v>
      </c>
      <c r="F877" s="2">
        <v>7.55</v>
      </c>
      <c r="G877" s="2">
        <f>E877*F877</f>
        <v>0</v>
      </c>
      <c r="H877" s="2">
        <v>0</v>
      </c>
      <c r="I877" s="2">
        <f>ROUND(H877-G877, 2)</f>
        <v>0</v>
      </c>
      <c r="J877">
        <f>IF(ABS(I877)&gt;0.01, "Priority 3", "None")</f>
        <v>0</v>
      </c>
    </row>
    <row r="878" spans="1:10">
      <c r="A878" t="s">
        <v>1950</v>
      </c>
      <c r="B878" t="s">
        <v>1757</v>
      </c>
      <c r="C878">
        <v>24</v>
      </c>
      <c r="D878">
        <v>19</v>
      </c>
      <c r="E878">
        <f>MAX(ROUNDUP(D878, 0), C878)</f>
        <v>0</v>
      </c>
      <c r="F878" s="2">
        <v>7.55</v>
      </c>
      <c r="G878" s="2">
        <f>E878*F878</f>
        <v>0</v>
      </c>
      <c r="H878" s="2">
        <v>0</v>
      </c>
      <c r="I878" s="2">
        <f>ROUND(H878-G878, 2)</f>
        <v>0</v>
      </c>
      <c r="J878">
        <f>IF(ABS(I878)&gt;0.01, "Priority 3", "None")</f>
        <v>0</v>
      </c>
    </row>
    <row r="879" spans="1:10">
      <c r="A879" t="s">
        <v>1951</v>
      </c>
      <c r="B879" t="s">
        <v>1757</v>
      </c>
      <c r="C879">
        <v>36</v>
      </c>
      <c r="D879">
        <v>25.8</v>
      </c>
      <c r="E879">
        <f>MAX(ROUNDUP(D879, 0), C879)</f>
        <v>0</v>
      </c>
      <c r="F879" s="2">
        <v>7.55</v>
      </c>
      <c r="G879" s="2">
        <f>E879*F879</f>
        <v>0</v>
      </c>
      <c r="H879" s="2">
        <v>0</v>
      </c>
      <c r="I879" s="2">
        <f>ROUND(H879-G879, 2)</f>
        <v>0</v>
      </c>
      <c r="J879">
        <f>IF(ABS(I879)&gt;0.01, "Priority 3", "None")</f>
        <v>0</v>
      </c>
    </row>
    <row r="880" spans="1:10">
      <c r="A880" t="s">
        <v>1952</v>
      </c>
      <c r="B880" t="s">
        <v>1757</v>
      </c>
      <c r="C880">
        <v>32</v>
      </c>
      <c r="D880">
        <v>58.4</v>
      </c>
      <c r="E880">
        <f>MAX(ROUNDUP(D880, 0), C880)</f>
        <v>0</v>
      </c>
      <c r="F880" s="2">
        <v>7.55</v>
      </c>
      <c r="G880" s="2">
        <f>E880*F880</f>
        <v>0</v>
      </c>
      <c r="H880" s="2">
        <v>0</v>
      </c>
      <c r="I880" s="2">
        <f>ROUND(H880-G880, 2)</f>
        <v>0</v>
      </c>
      <c r="J880">
        <f>IF(ABS(I880)&gt;0.01, "Priority 3", "None")</f>
        <v>0</v>
      </c>
    </row>
    <row r="881" spans="1:10">
      <c r="A881" t="s">
        <v>1953</v>
      </c>
      <c r="B881" t="s">
        <v>1757</v>
      </c>
      <c r="C881">
        <v>32</v>
      </c>
      <c r="D881">
        <v>31.4</v>
      </c>
      <c r="E881">
        <f>MAX(ROUNDUP(D881, 0), C881)</f>
        <v>0</v>
      </c>
      <c r="F881" s="2">
        <v>7.55</v>
      </c>
      <c r="G881" s="2">
        <f>E881*F881</f>
        <v>0</v>
      </c>
      <c r="H881" s="2">
        <v>0</v>
      </c>
      <c r="I881" s="2">
        <f>ROUND(H881-G881, 2)</f>
        <v>0</v>
      </c>
      <c r="J881">
        <f>IF(ABS(I881)&gt;0.01, "Priority 3", "None")</f>
        <v>0</v>
      </c>
    </row>
    <row r="882" spans="1:10">
      <c r="A882" t="s">
        <v>1954</v>
      </c>
      <c r="B882" t="s">
        <v>1757</v>
      </c>
      <c r="C882">
        <v>60</v>
      </c>
      <c r="D882">
        <v>29.1</v>
      </c>
      <c r="E882">
        <f>MAX(ROUNDUP(D882, 0), C882)</f>
        <v>0</v>
      </c>
      <c r="F882" s="2">
        <v>7.55</v>
      </c>
      <c r="G882" s="2">
        <f>E882*F882</f>
        <v>0</v>
      </c>
      <c r="H882" s="2">
        <v>0</v>
      </c>
      <c r="I882" s="2">
        <f>ROUND(H882-G882, 2)</f>
        <v>0</v>
      </c>
      <c r="J882">
        <f>IF(ABS(I882)&gt;0.01, "Priority 3", "None")</f>
        <v>0</v>
      </c>
    </row>
    <row r="883" spans="1:10">
      <c r="A883" t="s">
        <v>1955</v>
      </c>
      <c r="B883" t="s">
        <v>1757</v>
      </c>
      <c r="C883">
        <v>60</v>
      </c>
      <c r="D883">
        <v>58.3</v>
      </c>
      <c r="E883">
        <f>MAX(ROUNDUP(D883, 0), C883)</f>
        <v>0</v>
      </c>
      <c r="F883" s="2">
        <v>7.55</v>
      </c>
      <c r="G883" s="2">
        <f>E883*F883</f>
        <v>0</v>
      </c>
      <c r="H883" s="2">
        <v>0</v>
      </c>
      <c r="I883" s="2">
        <f>ROUND(H883-G883, 2)</f>
        <v>0</v>
      </c>
      <c r="J883">
        <f>IF(ABS(I883)&gt;0.01, "Priority 3", "None")</f>
        <v>0</v>
      </c>
    </row>
    <row r="884" spans="1:10">
      <c r="A884" t="s">
        <v>1956</v>
      </c>
      <c r="B884" t="s">
        <v>1757</v>
      </c>
      <c r="C884">
        <v>45</v>
      </c>
      <c r="D884">
        <v>47.5</v>
      </c>
      <c r="E884">
        <f>MAX(ROUNDUP(D884, 0), C884)</f>
        <v>0</v>
      </c>
      <c r="F884" s="2">
        <v>7.55</v>
      </c>
      <c r="G884" s="2">
        <f>E884*F884</f>
        <v>0</v>
      </c>
      <c r="H884" s="2">
        <v>0</v>
      </c>
      <c r="I884" s="2">
        <f>ROUND(H884-G884, 2)</f>
        <v>0</v>
      </c>
      <c r="J884">
        <f>IF(ABS(I884)&gt;0.01, "Priority 3", "None")</f>
        <v>0</v>
      </c>
    </row>
    <row r="885" spans="1:10">
      <c r="A885" t="s">
        <v>1957</v>
      </c>
      <c r="B885" t="s">
        <v>1757</v>
      </c>
      <c r="C885">
        <v>45</v>
      </c>
      <c r="D885">
        <v>27.2</v>
      </c>
      <c r="E885">
        <f>MAX(ROUNDUP(D885, 0), C885)</f>
        <v>0</v>
      </c>
      <c r="F885" s="2">
        <v>7.55</v>
      </c>
      <c r="G885" s="2">
        <f>E885*F885</f>
        <v>0</v>
      </c>
      <c r="H885" s="2">
        <v>0</v>
      </c>
      <c r="I885" s="2">
        <f>ROUND(H885-G885, 2)</f>
        <v>0</v>
      </c>
      <c r="J885">
        <f>IF(ABS(I885)&gt;0.01, "Priority 3", "None")</f>
        <v>0</v>
      </c>
    </row>
    <row r="886" spans="1:10">
      <c r="A886" t="s">
        <v>1958</v>
      </c>
      <c r="B886" t="s">
        <v>1757</v>
      </c>
      <c r="C886">
        <v>80</v>
      </c>
      <c r="D886">
        <v>51.7</v>
      </c>
      <c r="E886">
        <f>MAX(ROUNDUP(D886, 0), C886)</f>
        <v>0</v>
      </c>
      <c r="F886" s="2">
        <v>7.55</v>
      </c>
      <c r="G886" s="2">
        <f>E886*F886</f>
        <v>0</v>
      </c>
      <c r="H886" s="2">
        <v>0</v>
      </c>
      <c r="I886" s="2">
        <f>ROUND(H886-G886, 2)</f>
        <v>0</v>
      </c>
      <c r="J886">
        <f>IF(ABS(I886)&gt;0.01, "Priority 3", "None")</f>
        <v>0</v>
      </c>
    </row>
    <row r="887" spans="1:10">
      <c r="A887" t="s">
        <v>1959</v>
      </c>
      <c r="B887" t="s">
        <v>1757</v>
      </c>
      <c r="C887">
        <v>80</v>
      </c>
      <c r="D887">
        <v>48</v>
      </c>
      <c r="E887">
        <f>MAX(ROUNDUP(D887, 0), C887)</f>
        <v>0</v>
      </c>
      <c r="F887" s="2">
        <v>7.55</v>
      </c>
      <c r="G887" s="2">
        <f>E887*F887</f>
        <v>0</v>
      </c>
      <c r="H887" s="2">
        <v>0</v>
      </c>
      <c r="I887" s="2">
        <f>ROUND(H887-G887, 2)</f>
        <v>0</v>
      </c>
      <c r="J887">
        <f>IF(ABS(I887)&gt;0.01, "Priority 3", "None")</f>
        <v>0</v>
      </c>
    </row>
    <row r="888" spans="1:10">
      <c r="A888" t="s">
        <v>1960</v>
      </c>
      <c r="B888" t="s">
        <v>1757</v>
      </c>
      <c r="C888">
        <v>60</v>
      </c>
      <c r="D888">
        <v>27.1</v>
      </c>
      <c r="E888">
        <f>MAX(ROUNDUP(D888, 0), C888)</f>
        <v>0</v>
      </c>
      <c r="F888" s="2">
        <v>7.55</v>
      </c>
      <c r="G888" s="2">
        <f>E888*F888</f>
        <v>0</v>
      </c>
      <c r="H888" s="2">
        <v>0</v>
      </c>
      <c r="I888" s="2">
        <f>ROUND(H888-G888, 2)</f>
        <v>0</v>
      </c>
      <c r="J888">
        <f>IF(ABS(I888)&gt;0.01, "Priority 3", "None")</f>
        <v>0</v>
      </c>
    </row>
    <row r="889" spans="1:10">
      <c r="A889" t="s">
        <v>1961</v>
      </c>
      <c r="B889" t="s">
        <v>1757</v>
      </c>
      <c r="C889">
        <v>32</v>
      </c>
      <c r="D889">
        <v>30.6</v>
      </c>
      <c r="E889">
        <f>MAX(ROUNDUP(D889, 0), C889)</f>
        <v>0</v>
      </c>
      <c r="F889" s="2">
        <v>7.55</v>
      </c>
      <c r="G889" s="2">
        <f>E889*F889</f>
        <v>0</v>
      </c>
      <c r="H889" s="2">
        <v>0</v>
      </c>
      <c r="I889" s="2">
        <f>ROUND(H889-G889, 2)</f>
        <v>0</v>
      </c>
      <c r="J889">
        <f>IF(ABS(I889)&gt;0.01, "Priority 3", "None")</f>
        <v>0</v>
      </c>
    </row>
    <row r="890" spans="1:10">
      <c r="A890" t="s">
        <v>1962</v>
      </c>
      <c r="B890" t="s">
        <v>1757</v>
      </c>
      <c r="C890">
        <v>70</v>
      </c>
      <c r="D890">
        <v>50.8</v>
      </c>
      <c r="E890">
        <f>MAX(ROUNDUP(D890, 0), C890)</f>
        <v>0</v>
      </c>
      <c r="F890" s="2">
        <v>7.55</v>
      </c>
      <c r="G890" s="2">
        <f>E890*F890</f>
        <v>0</v>
      </c>
      <c r="H890" s="2">
        <v>0</v>
      </c>
      <c r="I890" s="2">
        <f>ROUND(H890-G890, 2)</f>
        <v>0</v>
      </c>
      <c r="J890">
        <f>IF(ABS(I890)&gt;0.01, "Priority 3", "None")</f>
        <v>0</v>
      </c>
    </row>
    <row r="891" spans="1:10">
      <c r="A891" t="s">
        <v>1963</v>
      </c>
      <c r="B891" t="s">
        <v>1757</v>
      </c>
      <c r="C891">
        <v>24</v>
      </c>
      <c r="D891">
        <v>31.6</v>
      </c>
      <c r="E891">
        <f>MAX(ROUNDUP(D891, 0), C891)</f>
        <v>0</v>
      </c>
      <c r="F891" s="2">
        <v>7.55</v>
      </c>
      <c r="G891" s="2">
        <f>E891*F891</f>
        <v>0</v>
      </c>
      <c r="H891" s="2">
        <v>0</v>
      </c>
      <c r="I891" s="2">
        <f>ROUND(H891-G891, 2)</f>
        <v>0</v>
      </c>
      <c r="J891">
        <f>IF(ABS(I891)&gt;0.01, "Priority 3", "None")</f>
        <v>0</v>
      </c>
    </row>
    <row r="892" spans="1:10">
      <c r="A892" t="s">
        <v>1964</v>
      </c>
      <c r="B892" t="s">
        <v>1757</v>
      </c>
      <c r="C892">
        <v>32</v>
      </c>
      <c r="D892">
        <v>22.5</v>
      </c>
      <c r="E892">
        <f>MAX(ROUNDUP(D892, 0), C892)</f>
        <v>0</v>
      </c>
      <c r="F892" s="2">
        <v>7.55</v>
      </c>
      <c r="G892" s="2">
        <f>E892*F892</f>
        <v>0</v>
      </c>
      <c r="H892" s="2">
        <v>0</v>
      </c>
      <c r="I892" s="2">
        <f>ROUND(H892-G892, 2)</f>
        <v>0</v>
      </c>
      <c r="J892">
        <f>IF(ABS(I892)&gt;0.01, "Priority 3", "None")</f>
        <v>0</v>
      </c>
    </row>
    <row r="893" spans="1:10">
      <c r="A893" t="s">
        <v>1965</v>
      </c>
      <c r="B893" t="s">
        <v>1757</v>
      </c>
      <c r="C893">
        <v>24</v>
      </c>
      <c r="D893">
        <v>51</v>
      </c>
      <c r="E893">
        <f>MAX(ROUNDUP(D893, 0), C893)</f>
        <v>0</v>
      </c>
      <c r="F893" s="2">
        <v>7.55</v>
      </c>
      <c r="G893" s="2">
        <f>E893*F893</f>
        <v>0</v>
      </c>
      <c r="H893" s="2">
        <v>0</v>
      </c>
      <c r="I893" s="2">
        <f>ROUND(H893-G893, 2)</f>
        <v>0</v>
      </c>
      <c r="J893">
        <f>IF(ABS(I893)&gt;0.01, "Priority 3", "None")</f>
        <v>0</v>
      </c>
    </row>
    <row r="894" spans="1:10">
      <c r="A894" t="s">
        <v>1966</v>
      </c>
      <c r="B894" t="s">
        <v>1757</v>
      </c>
      <c r="C894">
        <v>45</v>
      </c>
      <c r="D894">
        <v>42.1</v>
      </c>
      <c r="E894">
        <f>MAX(ROUNDUP(D894, 0), C894)</f>
        <v>0</v>
      </c>
      <c r="F894" s="2">
        <v>7.55</v>
      </c>
      <c r="G894" s="2">
        <f>E894*F894</f>
        <v>0</v>
      </c>
      <c r="H894" s="2">
        <v>0</v>
      </c>
      <c r="I894" s="2">
        <f>ROUND(H894-G894, 2)</f>
        <v>0</v>
      </c>
      <c r="J894">
        <f>IF(ABS(I894)&gt;0.01, "Priority 3", "None")</f>
        <v>0</v>
      </c>
    </row>
    <row r="895" spans="1:10">
      <c r="A895" t="s">
        <v>1967</v>
      </c>
      <c r="B895" t="s">
        <v>1757</v>
      </c>
      <c r="C895">
        <v>32</v>
      </c>
      <c r="D895">
        <v>19.8</v>
      </c>
      <c r="E895">
        <f>MAX(ROUNDUP(D895, 0), C895)</f>
        <v>0</v>
      </c>
      <c r="F895" s="2">
        <v>7.55</v>
      </c>
      <c r="G895" s="2">
        <f>E895*F895</f>
        <v>0</v>
      </c>
      <c r="H895" s="2">
        <v>0</v>
      </c>
      <c r="I895" s="2">
        <f>ROUND(H895-G895, 2)</f>
        <v>0</v>
      </c>
      <c r="J895">
        <f>IF(ABS(I895)&gt;0.01, "Priority 3", "None")</f>
        <v>0</v>
      </c>
    </row>
    <row r="896" spans="1:10">
      <c r="A896" t="s">
        <v>1968</v>
      </c>
      <c r="B896" t="s">
        <v>1757</v>
      </c>
      <c r="C896">
        <v>45</v>
      </c>
      <c r="D896">
        <v>28.5</v>
      </c>
      <c r="E896">
        <f>MAX(ROUNDUP(D896, 0), C896)</f>
        <v>0</v>
      </c>
      <c r="F896" s="2">
        <v>7.55</v>
      </c>
      <c r="G896" s="2">
        <f>E896*F896</f>
        <v>0</v>
      </c>
      <c r="H896" s="2">
        <v>0</v>
      </c>
      <c r="I896" s="2">
        <f>ROUND(H896-G896, 2)</f>
        <v>0</v>
      </c>
      <c r="J896">
        <f>IF(ABS(I896)&gt;0.01, "Priority 3", "None")</f>
        <v>0</v>
      </c>
    </row>
    <row r="897" spans="1:10">
      <c r="A897" t="s">
        <v>1969</v>
      </c>
      <c r="B897" t="s">
        <v>1757</v>
      </c>
      <c r="C897">
        <v>28</v>
      </c>
      <c r="D897">
        <v>35</v>
      </c>
      <c r="E897">
        <f>MAX(ROUNDUP(D897, 0), C897)</f>
        <v>0</v>
      </c>
      <c r="F897" s="2">
        <v>7.55</v>
      </c>
      <c r="G897" s="2">
        <f>E897*F897</f>
        <v>0</v>
      </c>
      <c r="H897" s="2">
        <v>0</v>
      </c>
      <c r="I897" s="2">
        <f>ROUND(H897-G897, 2)</f>
        <v>0</v>
      </c>
      <c r="J897">
        <f>IF(ABS(I897)&gt;0.01, "Priority 3", "None")</f>
        <v>0</v>
      </c>
    </row>
    <row r="898" spans="1:10">
      <c r="A898" t="s">
        <v>1970</v>
      </c>
      <c r="B898" t="s">
        <v>1971</v>
      </c>
      <c r="C898">
        <v>70</v>
      </c>
      <c r="D898">
        <v>27.6</v>
      </c>
      <c r="E898">
        <f>MAX(ROUNDUP(D898, 0), C898)</f>
        <v>0</v>
      </c>
      <c r="F898" s="2">
        <v>7.55</v>
      </c>
      <c r="G898" s="2">
        <f>E898*F898</f>
        <v>0</v>
      </c>
      <c r="H898" s="2">
        <v>0</v>
      </c>
      <c r="I898" s="2">
        <f>ROUND(H898-G898, 2)</f>
        <v>0</v>
      </c>
      <c r="J898">
        <f>IF(ABS(I898)&gt;0.01, "Priority 3", "None")</f>
        <v>0</v>
      </c>
    </row>
    <row r="899" spans="1:10">
      <c r="A899" t="s">
        <v>1972</v>
      </c>
      <c r="B899" t="s">
        <v>1971</v>
      </c>
      <c r="C899">
        <v>32</v>
      </c>
      <c r="D899">
        <v>44.3</v>
      </c>
      <c r="E899">
        <f>MAX(ROUNDUP(D899, 0), C899)</f>
        <v>0</v>
      </c>
      <c r="F899" s="2">
        <v>7.55</v>
      </c>
      <c r="G899" s="2">
        <f>E899*F899</f>
        <v>0</v>
      </c>
      <c r="H899" s="2">
        <v>0</v>
      </c>
      <c r="I899" s="2">
        <f>ROUND(H899-G899, 2)</f>
        <v>0</v>
      </c>
      <c r="J899">
        <f>IF(ABS(I899)&gt;0.01, "Priority 3", "None")</f>
        <v>0</v>
      </c>
    </row>
    <row r="900" spans="1:10">
      <c r="A900" t="s">
        <v>1973</v>
      </c>
      <c r="B900" t="s">
        <v>1971</v>
      </c>
      <c r="C900">
        <v>36</v>
      </c>
      <c r="D900">
        <v>55.5</v>
      </c>
      <c r="E900">
        <f>MAX(ROUNDUP(D900, 0), C900)</f>
        <v>0</v>
      </c>
      <c r="F900" s="2">
        <v>7.55</v>
      </c>
      <c r="G900" s="2">
        <f>E900*F900</f>
        <v>0</v>
      </c>
      <c r="H900" s="2">
        <v>0</v>
      </c>
      <c r="I900" s="2">
        <f>ROUND(H900-G900, 2)</f>
        <v>0</v>
      </c>
      <c r="J900">
        <f>IF(ABS(I900)&gt;0.01, "Priority 3", "None")</f>
        <v>0</v>
      </c>
    </row>
    <row r="901" spans="1:10">
      <c r="A901" t="s">
        <v>1974</v>
      </c>
      <c r="B901" t="s">
        <v>1971</v>
      </c>
      <c r="C901">
        <v>50</v>
      </c>
      <c r="D901">
        <v>52.4</v>
      </c>
      <c r="E901">
        <f>MAX(ROUNDUP(D901, 0), C901)</f>
        <v>0</v>
      </c>
      <c r="F901" s="2">
        <v>7.55</v>
      </c>
      <c r="G901" s="2">
        <f>E901*F901</f>
        <v>0</v>
      </c>
      <c r="H901" s="2">
        <v>0</v>
      </c>
      <c r="I901" s="2">
        <f>ROUND(H901-G901, 2)</f>
        <v>0</v>
      </c>
      <c r="J901">
        <f>IF(ABS(I901)&gt;0.01, "Priority 3", "None")</f>
        <v>0</v>
      </c>
    </row>
    <row r="902" spans="1:10">
      <c r="A902" t="s">
        <v>1975</v>
      </c>
      <c r="B902" t="s">
        <v>1971</v>
      </c>
      <c r="C902">
        <v>28</v>
      </c>
      <c r="D902">
        <v>36.9</v>
      </c>
      <c r="E902">
        <f>MAX(ROUNDUP(D902, 0), C902)</f>
        <v>0</v>
      </c>
      <c r="F902" s="2">
        <v>7.55</v>
      </c>
      <c r="G902" s="2">
        <f>E902*F902</f>
        <v>0</v>
      </c>
      <c r="H902" s="2">
        <v>0</v>
      </c>
      <c r="I902" s="2">
        <f>ROUND(H902-G902, 2)</f>
        <v>0</v>
      </c>
      <c r="J902">
        <f>IF(ABS(I902)&gt;0.01, "Priority 3", "None")</f>
        <v>0</v>
      </c>
    </row>
    <row r="903" spans="1:10">
      <c r="A903" t="s">
        <v>1976</v>
      </c>
      <c r="B903" t="s">
        <v>1971</v>
      </c>
      <c r="C903">
        <v>40</v>
      </c>
      <c r="D903">
        <v>47.8</v>
      </c>
      <c r="E903">
        <f>MAX(ROUNDUP(D903, 0), C903)</f>
        <v>0</v>
      </c>
      <c r="F903" s="2">
        <v>7.55</v>
      </c>
      <c r="G903" s="2">
        <f>E903*F903</f>
        <v>0</v>
      </c>
      <c r="H903" s="2">
        <v>0</v>
      </c>
      <c r="I903" s="2">
        <f>ROUND(H903-G903, 2)</f>
        <v>0</v>
      </c>
      <c r="J903">
        <f>IF(ABS(I903)&gt;0.01, "Priority 3", "None")</f>
        <v>0</v>
      </c>
    </row>
    <row r="904" spans="1:10">
      <c r="A904" t="s">
        <v>1977</v>
      </c>
      <c r="B904" t="s">
        <v>1971</v>
      </c>
      <c r="C904">
        <v>28</v>
      </c>
      <c r="D904">
        <v>34</v>
      </c>
      <c r="E904">
        <f>MAX(ROUNDUP(D904, 0), C904)</f>
        <v>0</v>
      </c>
      <c r="F904" s="2">
        <v>7.55</v>
      </c>
      <c r="G904" s="2">
        <f>E904*F904</f>
        <v>0</v>
      </c>
      <c r="H904" s="2">
        <v>0</v>
      </c>
      <c r="I904" s="2">
        <f>ROUND(H904-G904, 2)</f>
        <v>0</v>
      </c>
      <c r="J904">
        <f>IF(ABS(I904)&gt;0.01, "Priority 3", "None")</f>
        <v>0</v>
      </c>
    </row>
    <row r="905" spans="1:10">
      <c r="A905" t="s">
        <v>1978</v>
      </c>
      <c r="B905" t="s">
        <v>1971</v>
      </c>
      <c r="C905">
        <v>32</v>
      </c>
      <c r="D905">
        <v>24.7</v>
      </c>
      <c r="E905">
        <f>MAX(ROUNDUP(D905, 0), C905)</f>
        <v>0</v>
      </c>
      <c r="F905" s="2">
        <v>7.55</v>
      </c>
      <c r="G905" s="2">
        <f>E905*F905</f>
        <v>0</v>
      </c>
      <c r="H905" s="2">
        <v>0</v>
      </c>
      <c r="I905" s="2">
        <f>ROUND(H905-G905, 2)</f>
        <v>0</v>
      </c>
      <c r="J905">
        <f>IF(ABS(I905)&gt;0.01, "Priority 3", "None")</f>
        <v>0</v>
      </c>
    </row>
    <row r="906" spans="1:10">
      <c r="A906" t="s">
        <v>1979</v>
      </c>
      <c r="B906" t="s">
        <v>1971</v>
      </c>
      <c r="C906">
        <v>28</v>
      </c>
      <c r="D906">
        <v>34.6</v>
      </c>
      <c r="E906">
        <f>MAX(ROUNDUP(D906, 0), C906)</f>
        <v>0</v>
      </c>
      <c r="F906" s="2">
        <v>7.55</v>
      </c>
      <c r="G906" s="2">
        <f>E906*F906</f>
        <v>0</v>
      </c>
      <c r="H906" s="2">
        <v>0</v>
      </c>
      <c r="I906" s="2">
        <f>ROUND(H906-G906, 2)</f>
        <v>0</v>
      </c>
      <c r="J906">
        <f>IF(ABS(I906)&gt;0.01, "Priority 3", "None")</f>
        <v>0</v>
      </c>
    </row>
    <row r="907" spans="1:10">
      <c r="A907" t="s">
        <v>1980</v>
      </c>
      <c r="B907" t="s">
        <v>1971</v>
      </c>
      <c r="C907">
        <v>45</v>
      </c>
      <c r="D907">
        <v>30.5</v>
      </c>
      <c r="E907">
        <f>MAX(ROUNDUP(D907, 0), C907)</f>
        <v>0</v>
      </c>
      <c r="F907" s="2">
        <v>7.55</v>
      </c>
      <c r="G907" s="2">
        <f>E907*F907</f>
        <v>0</v>
      </c>
      <c r="H907" s="2">
        <v>0</v>
      </c>
      <c r="I907" s="2">
        <f>ROUND(H907-G907, 2)</f>
        <v>0</v>
      </c>
      <c r="J907">
        <f>IF(ABS(I907)&gt;0.01, "Priority 3", "None")</f>
        <v>0</v>
      </c>
    </row>
    <row r="908" spans="1:10">
      <c r="A908" t="s">
        <v>1981</v>
      </c>
      <c r="B908" t="s">
        <v>1971</v>
      </c>
      <c r="C908">
        <v>32</v>
      </c>
      <c r="D908">
        <v>49.9</v>
      </c>
      <c r="E908">
        <f>MAX(ROUNDUP(D908, 0), C908)</f>
        <v>0</v>
      </c>
      <c r="F908" s="2">
        <v>7.55</v>
      </c>
      <c r="G908" s="2">
        <f>E908*F908</f>
        <v>0</v>
      </c>
      <c r="H908" s="2">
        <v>0</v>
      </c>
      <c r="I908" s="2">
        <f>ROUND(H908-G908, 2)</f>
        <v>0</v>
      </c>
      <c r="J908">
        <f>IF(ABS(I908)&gt;0.01, "Priority 3", "None")</f>
        <v>0</v>
      </c>
    </row>
    <row r="909" spans="1:10">
      <c r="A909" t="s">
        <v>1982</v>
      </c>
      <c r="B909" t="s">
        <v>1971</v>
      </c>
      <c r="C909">
        <v>36</v>
      </c>
      <c r="D909">
        <v>50.7</v>
      </c>
      <c r="E909">
        <f>MAX(ROUNDUP(D909, 0), C909)</f>
        <v>0</v>
      </c>
      <c r="F909" s="2">
        <v>7.55</v>
      </c>
      <c r="G909" s="2">
        <f>E909*F909</f>
        <v>0</v>
      </c>
      <c r="H909" s="2">
        <v>0</v>
      </c>
      <c r="I909" s="2">
        <f>ROUND(H909-G909, 2)</f>
        <v>0</v>
      </c>
      <c r="J909">
        <f>IF(ABS(I909)&gt;0.01, "Priority 3", "None")</f>
        <v>0</v>
      </c>
    </row>
    <row r="910" spans="1:10">
      <c r="A910" t="s">
        <v>1983</v>
      </c>
      <c r="B910" t="s">
        <v>1971</v>
      </c>
      <c r="C910">
        <v>32</v>
      </c>
      <c r="D910">
        <v>21</v>
      </c>
      <c r="E910">
        <f>MAX(ROUNDUP(D910, 0), C910)</f>
        <v>0</v>
      </c>
      <c r="F910" s="2">
        <v>7.55</v>
      </c>
      <c r="G910" s="2">
        <f>E910*F910</f>
        <v>0</v>
      </c>
      <c r="H910" s="2">
        <v>0</v>
      </c>
      <c r="I910" s="2">
        <f>ROUND(H910-G910, 2)</f>
        <v>0</v>
      </c>
      <c r="J910">
        <f>IF(ABS(I910)&gt;0.01, "Priority 3", "None")</f>
        <v>0</v>
      </c>
    </row>
    <row r="911" spans="1:10">
      <c r="A911" t="s">
        <v>1984</v>
      </c>
      <c r="B911" t="s">
        <v>1971</v>
      </c>
      <c r="C911">
        <v>24</v>
      </c>
      <c r="D911">
        <v>19.8</v>
      </c>
      <c r="E911">
        <f>MAX(ROUNDUP(D911, 0), C911)</f>
        <v>0</v>
      </c>
      <c r="F911" s="2">
        <v>7.55</v>
      </c>
      <c r="G911" s="2">
        <f>E911*F911</f>
        <v>0</v>
      </c>
      <c r="H911" s="2">
        <v>0</v>
      </c>
      <c r="I911" s="2">
        <f>ROUND(H911-G911, 2)</f>
        <v>0</v>
      </c>
      <c r="J911">
        <f>IF(ABS(I911)&gt;0.01, "Priority 3", "None")</f>
        <v>0</v>
      </c>
    </row>
    <row r="912" spans="1:10">
      <c r="A912" t="s">
        <v>1985</v>
      </c>
      <c r="B912" t="s">
        <v>1971</v>
      </c>
      <c r="C912">
        <v>70</v>
      </c>
      <c r="D912">
        <v>43.2</v>
      </c>
      <c r="E912">
        <f>MAX(ROUNDUP(D912, 0), C912)</f>
        <v>0</v>
      </c>
      <c r="F912" s="2">
        <v>7.55</v>
      </c>
      <c r="G912" s="2">
        <f>E912*F912</f>
        <v>0</v>
      </c>
      <c r="H912" s="2">
        <v>0</v>
      </c>
      <c r="I912" s="2">
        <f>ROUND(H912-G912, 2)</f>
        <v>0</v>
      </c>
      <c r="J912">
        <f>IF(ABS(I912)&gt;0.01, "Priority 3", "None")</f>
        <v>0</v>
      </c>
    </row>
    <row r="913" spans="1:10">
      <c r="A913" t="s">
        <v>1986</v>
      </c>
      <c r="B913" t="s">
        <v>1971</v>
      </c>
      <c r="C913">
        <v>24</v>
      </c>
      <c r="D913">
        <v>31.6</v>
      </c>
      <c r="E913">
        <f>MAX(ROUNDUP(D913, 0), C913)</f>
        <v>0</v>
      </c>
      <c r="F913" s="2">
        <v>7.55</v>
      </c>
      <c r="G913" s="2">
        <f>E913*F913</f>
        <v>0</v>
      </c>
      <c r="H913" s="2">
        <v>0</v>
      </c>
      <c r="I913" s="2">
        <f>ROUND(H913-G913, 2)</f>
        <v>0</v>
      </c>
      <c r="J913">
        <f>IF(ABS(I913)&gt;0.01, "Priority 3", "None")</f>
        <v>0</v>
      </c>
    </row>
    <row r="914" spans="1:10">
      <c r="A914" t="s">
        <v>1987</v>
      </c>
      <c r="B914" t="s">
        <v>1971</v>
      </c>
      <c r="C914">
        <v>60</v>
      </c>
      <c r="D914">
        <v>52.3</v>
      </c>
      <c r="E914">
        <f>MAX(ROUNDUP(D914, 0), C914)</f>
        <v>0</v>
      </c>
      <c r="F914" s="2">
        <v>7.55</v>
      </c>
      <c r="G914" s="2">
        <f>E914*F914</f>
        <v>0</v>
      </c>
      <c r="H914" s="2">
        <v>0</v>
      </c>
      <c r="I914" s="2">
        <f>ROUND(H914-G914, 2)</f>
        <v>0</v>
      </c>
      <c r="J914">
        <f>IF(ABS(I914)&gt;0.01, "Priority 3", "None")</f>
        <v>0</v>
      </c>
    </row>
    <row r="915" spans="1:10">
      <c r="A915" t="s">
        <v>1988</v>
      </c>
      <c r="B915" t="s">
        <v>1971</v>
      </c>
      <c r="C915">
        <v>32</v>
      </c>
      <c r="D915">
        <v>27.8</v>
      </c>
      <c r="E915">
        <f>MAX(ROUNDUP(D915, 0), C915)</f>
        <v>0</v>
      </c>
      <c r="F915" s="2">
        <v>7.55</v>
      </c>
      <c r="G915" s="2">
        <f>E915*F915</f>
        <v>0</v>
      </c>
      <c r="H915" s="2">
        <v>0</v>
      </c>
      <c r="I915" s="2">
        <f>ROUND(H915-G915, 2)</f>
        <v>0</v>
      </c>
      <c r="J915">
        <f>IF(ABS(I915)&gt;0.01, "Priority 3", "None")</f>
        <v>0</v>
      </c>
    </row>
    <row r="916" spans="1:10">
      <c r="A916" t="s">
        <v>1989</v>
      </c>
      <c r="B916" t="s">
        <v>1971</v>
      </c>
      <c r="C916">
        <v>40</v>
      </c>
      <c r="D916">
        <v>57.3</v>
      </c>
      <c r="E916">
        <f>MAX(ROUNDUP(D916, 0), C916)</f>
        <v>0</v>
      </c>
      <c r="F916" s="2">
        <v>7.55</v>
      </c>
      <c r="G916" s="2">
        <f>E916*F916</f>
        <v>0</v>
      </c>
      <c r="H916" s="2">
        <v>0</v>
      </c>
      <c r="I916" s="2">
        <f>ROUND(H916-G916, 2)</f>
        <v>0</v>
      </c>
      <c r="J916">
        <f>IF(ABS(I916)&gt;0.01, "Priority 3", "None")</f>
        <v>0</v>
      </c>
    </row>
    <row r="917" spans="1:10">
      <c r="A917" t="s">
        <v>1990</v>
      </c>
      <c r="B917" t="s">
        <v>1971</v>
      </c>
      <c r="C917">
        <v>80</v>
      </c>
      <c r="D917">
        <v>53.4</v>
      </c>
      <c r="E917">
        <f>MAX(ROUNDUP(D917, 0), C917)</f>
        <v>0</v>
      </c>
      <c r="F917" s="2">
        <v>7.55</v>
      </c>
      <c r="G917" s="2">
        <f>E917*F917</f>
        <v>0</v>
      </c>
      <c r="H917" s="2">
        <v>0</v>
      </c>
      <c r="I917" s="2">
        <f>ROUND(H917-G917, 2)</f>
        <v>0</v>
      </c>
      <c r="J917">
        <f>IF(ABS(I917)&gt;0.01, "Priority 3", "None")</f>
        <v>0</v>
      </c>
    </row>
    <row r="918" spans="1:10">
      <c r="A918" t="s">
        <v>1991</v>
      </c>
      <c r="B918" t="s">
        <v>1971</v>
      </c>
      <c r="C918">
        <v>24</v>
      </c>
      <c r="D918">
        <v>23.5</v>
      </c>
      <c r="E918">
        <f>MAX(ROUNDUP(D918, 0), C918)</f>
        <v>0</v>
      </c>
      <c r="F918" s="2">
        <v>7.55</v>
      </c>
      <c r="G918" s="2">
        <f>E918*F918</f>
        <v>0</v>
      </c>
      <c r="H918" s="2">
        <v>0</v>
      </c>
      <c r="I918" s="2">
        <f>ROUND(H918-G918, 2)</f>
        <v>0</v>
      </c>
      <c r="J918">
        <f>IF(ABS(I918)&gt;0.01, "Priority 3", "None")</f>
        <v>0</v>
      </c>
    </row>
    <row r="919" spans="1:10">
      <c r="A919" t="s">
        <v>1992</v>
      </c>
      <c r="B919" t="s">
        <v>1971</v>
      </c>
      <c r="C919">
        <v>32</v>
      </c>
      <c r="D919">
        <v>39.8</v>
      </c>
      <c r="E919">
        <f>MAX(ROUNDUP(D919, 0), C919)</f>
        <v>0</v>
      </c>
      <c r="F919" s="2">
        <v>7.55</v>
      </c>
      <c r="G919" s="2">
        <f>E919*F919</f>
        <v>0</v>
      </c>
      <c r="H919" s="2">
        <v>0</v>
      </c>
      <c r="I919" s="2">
        <f>ROUND(H919-G919, 2)</f>
        <v>0</v>
      </c>
      <c r="J919">
        <f>IF(ABS(I919)&gt;0.01, "Priority 3", "None")</f>
        <v>0</v>
      </c>
    </row>
    <row r="920" spans="1:10">
      <c r="A920" t="s">
        <v>1993</v>
      </c>
      <c r="B920" t="s">
        <v>1971</v>
      </c>
      <c r="C920">
        <v>80</v>
      </c>
      <c r="D920">
        <v>57.9</v>
      </c>
      <c r="E920">
        <f>MAX(ROUNDUP(D920, 0), C920)</f>
        <v>0</v>
      </c>
      <c r="F920" s="2">
        <v>7.55</v>
      </c>
      <c r="G920" s="2">
        <f>E920*F920</f>
        <v>0</v>
      </c>
      <c r="H920" s="2">
        <v>0</v>
      </c>
      <c r="I920" s="2">
        <f>ROUND(H920-G920, 2)</f>
        <v>0</v>
      </c>
      <c r="J920">
        <f>IF(ABS(I920)&gt;0.01, "Priority 3", "None")</f>
        <v>0</v>
      </c>
    </row>
    <row r="921" spans="1:10">
      <c r="A921" t="s">
        <v>1994</v>
      </c>
      <c r="B921" t="s">
        <v>1971</v>
      </c>
      <c r="C921">
        <v>32</v>
      </c>
      <c r="D921">
        <v>24.6</v>
      </c>
      <c r="E921">
        <f>MAX(ROUNDUP(D921, 0), C921)</f>
        <v>0</v>
      </c>
      <c r="F921" s="2">
        <v>7.55</v>
      </c>
      <c r="G921" s="2">
        <f>E921*F921</f>
        <v>0</v>
      </c>
      <c r="H921" s="2">
        <v>0</v>
      </c>
      <c r="I921" s="2">
        <f>ROUND(H921-G921, 2)</f>
        <v>0</v>
      </c>
      <c r="J921">
        <f>IF(ABS(I921)&gt;0.01, "Priority 3", "None")</f>
        <v>0</v>
      </c>
    </row>
    <row r="922" spans="1:10">
      <c r="A922" t="s">
        <v>1995</v>
      </c>
      <c r="B922" t="s">
        <v>1971</v>
      </c>
      <c r="C922">
        <v>45</v>
      </c>
      <c r="D922">
        <v>48.4</v>
      </c>
      <c r="E922">
        <f>MAX(ROUNDUP(D922, 0), C922)</f>
        <v>0</v>
      </c>
      <c r="F922" s="2">
        <v>7.55</v>
      </c>
      <c r="G922" s="2">
        <f>E922*F922</f>
        <v>0</v>
      </c>
      <c r="H922" s="2">
        <v>0</v>
      </c>
      <c r="I922" s="2">
        <f>ROUND(H922-G922, 2)</f>
        <v>0</v>
      </c>
      <c r="J922">
        <f>IF(ABS(I922)&gt;0.01, "Priority 3", "None")</f>
        <v>0</v>
      </c>
    </row>
    <row r="923" spans="1:10">
      <c r="A923" t="s">
        <v>1996</v>
      </c>
      <c r="B923" t="s">
        <v>1971</v>
      </c>
      <c r="C923">
        <v>32</v>
      </c>
      <c r="D923">
        <v>27.3</v>
      </c>
      <c r="E923">
        <f>MAX(ROUNDUP(D923, 0), C923)</f>
        <v>0</v>
      </c>
      <c r="F923" s="2">
        <v>7.55</v>
      </c>
      <c r="G923" s="2">
        <f>E923*F923</f>
        <v>0</v>
      </c>
      <c r="H923" s="2">
        <v>0</v>
      </c>
      <c r="I923" s="2">
        <f>ROUND(H923-G923, 2)</f>
        <v>0</v>
      </c>
      <c r="J923">
        <f>IF(ABS(I923)&gt;0.01, "Priority 3", "None")</f>
        <v>0</v>
      </c>
    </row>
    <row r="924" spans="1:10">
      <c r="A924" t="s">
        <v>1997</v>
      </c>
      <c r="B924" t="s">
        <v>1971</v>
      </c>
      <c r="C924">
        <v>24</v>
      </c>
      <c r="D924">
        <v>46</v>
      </c>
      <c r="E924">
        <f>MAX(ROUNDUP(D924, 0), C924)</f>
        <v>0</v>
      </c>
      <c r="F924" s="2">
        <v>7.55</v>
      </c>
      <c r="G924" s="2">
        <f>E924*F924</f>
        <v>0</v>
      </c>
      <c r="H924" s="2">
        <v>0</v>
      </c>
      <c r="I924" s="2">
        <f>ROUND(H924-G924, 2)</f>
        <v>0</v>
      </c>
      <c r="J924">
        <f>IF(ABS(I924)&gt;0.01, "Priority 3", "None")</f>
        <v>0</v>
      </c>
    </row>
    <row r="925" spans="1:10">
      <c r="A925" t="s">
        <v>1998</v>
      </c>
      <c r="B925" t="s">
        <v>1971</v>
      </c>
      <c r="C925">
        <v>24</v>
      </c>
      <c r="D925">
        <v>27.6</v>
      </c>
      <c r="E925">
        <f>MAX(ROUNDUP(D925, 0), C925)</f>
        <v>0</v>
      </c>
      <c r="F925" s="2">
        <v>7.55</v>
      </c>
      <c r="G925" s="2">
        <f>E925*F925</f>
        <v>0</v>
      </c>
      <c r="H925" s="2">
        <v>0</v>
      </c>
      <c r="I925" s="2">
        <f>ROUND(H925-G925, 2)</f>
        <v>0</v>
      </c>
      <c r="J925">
        <f>IF(ABS(I925)&gt;0.01, "Priority 3", "None")</f>
        <v>0</v>
      </c>
    </row>
    <row r="926" spans="1:10">
      <c r="A926" t="s">
        <v>1999</v>
      </c>
      <c r="B926" t="s">
        <v>1971</v>
      </c>
      <c r="C926">
        <v>24</v>
      </c>
      <c r="D926">
        <v>46.5</v>
      </c>
      <c r="E926">
        <f>MAX(ROUNDUP(D926, 0), C926)</f>
        <v>0</v>
      </c>
      <c r="F926" s="2">
        <v>7.55</v>
      </c>
      <c r="G926" s="2">
        <f>E926*F926</f>
        <v>0</v>
      </c>
      <c r="H926" s="2">
        <v>0</v>
      </c>
      <c r="I926" s="2">
        <f>ROUND(H926-G926, 2)</f>
        <v>0</v>
      </c>
      <c r="J926">
        <f>IF(ABS(I926)&gt;0.01, "Priority 3", "None")</f>
        <v>0</v>
      </c>
    </row>
    <row r="927" spans="1:10">
      <c r="A927" t="s">
        <v>2000</v>
      </c>
      <c r="B927" t="s">
        <v>1971</v>
      </c>
      <c r="C927">
        <v>24</v>
      </c>
      <c r="D927">
        <v>39.1</v>
      </c>
      <c r="E927">
        <f>MAX(ROUNDUP(D927, 0), C927)</f>
        <v>0</v>
      </c>
      <c r="F927" s="2">
        <v>7.55</v>
      </c>
      <c r="G927" s="2">
        <f>E927*F927</f>
        <v>0</v>
      </c>
      <c r="H927" s="2">
        <v>0</v>
      </c>
      <c r="I927" s="2">
        <f>ROUND(H927-G927, 2)</f>
        <v>0</v>
      </c>
      <c r="J927">
        <f>IF(ABS(I927)&gt;0.01, "Priority 3", "None")</f>
        <v>0</v>
      </c>
    </row>
    <row r="928" spans="1:10">
      <c r="A928" t="s">
        <v>2001</v>
      </c>
      <c r="B928" t="s">
        <v>1971</v>
      </c>
      <c r="C928">
        <v>45</v>
      </c>
      <c r="D928">
        <v>60.3</v>
      </c>
      <c r="E928">
        <f>MAX(ROUNDUP(D928, 0), C928)</f>
        <v>0</v>
      </c>
      <c r="F928" s="2">
        <v>7.55</v>
      </c>
      <c r="G928" s="2">
        <f>E928*F928</f>
        <v>0</v>
      </c>
      <c r="H928" s="2">
        <v>0</v>
      </c>
      <c r="I928" s="2">
        <f>ROUND(H928-G928, 2)</f>
        <v>0</v>
      </c>
      <c r="J928">
        <f>IF(ABS(I928)&gt;0.01, "Priority 3", "None")</f>
        <v>0</v>
      </c>
    </row>
    <row r="929" spans="1:10">
      <c r="A929" t="s">
        <v>2002</v>
      </c>
      <c r="B929" t="s">
        <v>1971</v>
      </c>
      <c r="C929">
        <v>32</v>
      </c>
      <c r="D929">
        <v>58.9</v>
      </c>
      <c r="E929">
        <f>MAX(ROUNDUP(D929, 0), C929)</f>
        <v>0</v>
      </c>
      <c r="F929" s="2">
        <v>7.55</v>
      </c>
      <c r="G929" s="2">
        <f>E929*F929</f>
        <v>0</v>
      </c>
      <c r="H929" s="2">
        <v>0</v>
      </c>
      <c r="I929" s="2">
        <f>ROUND(H929-G929, 2)</f>
        <v>0</v>
      </c>
      <c r="J929">
        <f>IF(ABS(I929)&gt;0.01, "Priority 3", "None")</f>
        <v>0</v>
      </c>
    </row>
    <row r="930" spans="1:10">
      <c r="A930" t="s">
        <v>2003</v>
      </c>
      <c r="B930" t="s">
        <v>1971</v>
      </c>
      <c r="C930">
        <v>40</v>
      </c>
      <c r="D930">
        <v>22.7</v>
      </c>
      <c r="E930">
        <f>MAX(ROUNDUP(D930, 0), C930)</f>
        <v>0</v>
      </c>
      <c r="F930" s="2">
        <v>7.55</v>
      </c>
      <c r="G930" s="2">
        <f>E930*F930</f>
        <v>0</v>
      </c>
      <c r="H930" s="2">
        <v>0</v>
      </c>
      <c r="I930" s="2">
        <f>ROUND(H930-G930, 2)</f>
        <v>0</v>
      </c>
      <c r="J930">
        <f>IF(ABS(I930)&gt;0.01, "Priority 3", "None")</f>
        <v>0</v>
      </c>
    </row>
    <row r="931" spans="1:10">
      <c r="A931" t="s">
        <v>2004</v>
      </c>
      <c r="B931" t="s">
        <v>1971</v>
      </c>
      <c r="C931">
        <v>28</v>
      </c>
      <c r="D931">
        <v>58.1</v>
      </c>
      <c r="E931">
        <f>MAX(ROUNDUP(D931, 0), C931)</f>
        <v>0</v>
      </c>
      <c r="F931" s="2">
        <v>7.55</v>
      </c>
      <c r="G931" s="2">
        <f>E931*F931</f>
        <v>0</v>
      </c>
      <c r="H931" s="2">
        <v>0</v>
      </c>
      <c r="I931" s="2">
        <f>ROUND(H931-G931, 2)</f>
        <v>0</v>
      </c>
      <c r="J931">
        <f>IF(ABS(I931)&gt;0.01, "Priority 3", "None")</f>
        <v>0</v>
      </c>
    </row>
    <row r="932" spans="1:10">
      <c r="A932" t="s">
        <v>2005</v>
      </c>
      <c r="B932" t="s">
        <v>1971</v>
      </c>
      <c r="C932">
        <v>70</v>
      </c>
      <c r="D932">
        <v>47.1</v>
      </c>
      <c r="E932">
        <f>MAX(ROUNDUP(D932, 0), C932)</f>
        <v>0</v>
      </c>
      <c r="F932" s="2">
        <v>7.55</v>
      </c>
      <c r="G932" s="2">
        <f>E932*F932</f>
        <v>0</v>
      </c>
      <c r="H932" s="2">
        <v>0</v>
      </c>
      <c r="I932" s="2">
        <f>ROUND(H932-G932, 2)</f>
        <v>0</v>
      </c>
      <c r="J932">
        <f>IF(ABS(I932)&gt;0.01, "Priority 3", "None")</f>
        <v>0</v>
      </c>
    </row>
    <row r="933" spans="1:10">
      <c r="A933" t="s">
        <v>2006</v>
      </c>
      <c r="B933" t="s">
        <v>1971</v>
      </c>
      <c r="C933">
        <v>28</v>
      </c>
      <c r="D933">
        <v>37.5</v>
      </c>
      <c r="E933">
        <f>MAX(ROUNDUP(D933, 0), C933)</f>
        <v>0</v>
      </c>
      <c r="F933" s="2">
        <v>7.55</v>
      </c>
      <c r="G933" s="2">
        <f>E933*F933</f>
        <v>0</v>
      </c>
      <c r="H933" s="2">
        <v>0</v>
      </c>
      <c r="I933" s="2">
        <f>ROUND(H933-G933, 2)</f>
        <v>0</v>
      </c>
      <c r="J933">
        <f>IF(ABS(I933)&gt;0.01, "Priority 3", "None")</f>
        <v>0</v>
      </c>
    </row>
    <row r="934" spans="1:10">
      <c r="A934" t="s">
        <v>2007</v>
      </c>
      <c r="B934" t="s">
        <v>1971</v>
      </c>
      <c r="C934">
        <v>50</v>
      </c>
      <c r="D934">
        <v>44.2</v>
      </c>
      <c r="E934">
        <f>MAX(ROUNDUP(D934, 0), C934)</f>
        <v>0</v>
      </c>
      <c r="F934" s="2">
        <v>7.55</v>
      </c>
      <c r="G934" s="2">
        <f>E934*F934</f>
        <v>0</v>
      </c>
      <c r="H934" s="2">
        <v>0</v>
      </c>
      <c r="I934" s="2">
        <f>ROUND(H934-G934, 2)</f>
        <v>0</v>
      </c>
      <c r="J934">
        <f>IF(ABS(I934)&gt;0.01, "Priority 3", "None")</f>
        <v>0</v>
      </c>
    </row>
    <row r="935" spans="1:10">
      <c r="A935" t="s">
        <v>2008</v>
      </c>
      <c r="B935" t="s">
        <v>1971</v>
      </c>
      <c r="C935">
        <v>50</v>
      </c>
      <c r="D935">
        <v>48.8</v>
      </c>
      <c r="E935">
        <f>MAX(ROUNDUP(D935, 0), C935)</f>
        <v>0</v>
      </c>
      <c r="F935" s="2">
        <v>7.55</v>
      </c>
      <c r="G935" s="2">
        <f>E935*F935</f>
        <v>0</v>
      </c>
      <c r="H935" s="2">
        <v>0</v>
      </c>
      <c r="I935" s="2">
        <f>ROUND(H935-G935, 2)</f>
        <v>0</v>
      </c>
      <c r="J935">
        <f>IF(ABS(I935)&gt;0.01, "Priority 3", "None")</f>
        <v>0</v>
      </c>
    </row>
    <row r="936" spans="1:10">
      <c r="A936" t="s">
        <v>2009</v>
      </c>
      <c r="B936" t="s">
        <v>1971</v>
      </c>
      <c r="C936">
        <v>28</v>
      </c>
      <c r="D936">
        <v>51.5</v>
      </c>
      <c r="E936">
        <f>MAX(ROUNDUP(D936, 0), C936)</f>
        <v>0</v>
      </c>
      <c r="F936" s="2">
        <v>7.55</v>
      </c>
      <c r="G936" s="2">
        <f>E936*F936</f>
        <v>0</v>
      </c>
      <c r="H936" s="2">
        <v>0</v>
      </c>
      <c r="I936" s="2">
        <f>ROUND(H936-G936, 2)</f>
        <v>0</v>
      </c>
      <c r="J936">
        <f>IF(ABS(I936)&gt;0.01, "Priority 3", "None")</f>
        <v>0</v>
      </c>
    </row>
    <row r="937" spans="1:10">
      <c r="A937" t="s">
        <v>2010</v>
      </c>
      <c r="B937" t="s">
        <v>1971</v>
      </c>
      <c r="C937">
        <v>40</v>
      </c>
      <c r="D937">
        <v>26.4</v>
      </c>
      <c r="E937">
        <f>MAX(ROUNDUP(D937, 0), C937)</f>
        <v>0</v>
      </c>
      <c r="F937" s="2">
        <v>7.55</v>
      </c>
      <c r="G937" s="2">
        <f>E937*F937</f>
        <v>0</v>
      </c>
      <c r="H937" s="2">
        <v>0</v>
      </c>
      <c r="I937" s="2">
        <f>ROUND(H937-G937, 2)</f>
        <v>0</v>
      </c>
      <c r="J937">
        <f>IF(ABS(I937)&gt;0.01, "Priority 3", "None")</f>
        <v>0</v>
      </c>
    </row>
    <row r="938" spans="1:10">
      <c r="A938" t="s">
        <v>2011</v>
      </c>
      <c r="B938" t="s">
        <v>1971</v>
      </c>
      <c r="C938">
        <v>32</v>
      </c>
      <c r="D938">
        <v>23.2</v>
      </c>
      <c r="E938">
        <f>MAX(ROUNDUP(D938, 0), C938)</f>
        <v>0</v>
      </c>
      <c r="F938" s="2">
        <v>7.55</v>
      </c>
      <c r="G938" s="2">
        <f>E938*F938</f>
        <v>0</v>
      </c>
      <c r="H938" s="2">
        <v>0</v>
      </c>
      <c r="I938" s="2">
        <f>ROUND(H938-G938, 2)</f>
        <v>0</v>
      </c>
      <c r="J938">
        <f>IF(ABS(I938)&gt;0.01, "Priority 3", "None")</f>
        <v>0</v>
      </c>
    </row>
    <row r="939" spans="1:10">
      <c r="A939" t="s">
        <v>2012</v>
      </c>
      <c r="B939" t="s">
        <v>1971</v>
      </c>
      <c r="C939">
        <v>80</v>
      </c>
      <c r="D939">
        <v>48.6</v>
      </c>
      <c r="E939">
        <f>MAX(ROUNDUP(D939, 0), C939)</f>
        <v>0</v>
      </c>
      <c r="F939" s="2">
        <v>7.55</v>
      </c>
      <c r="G939" s="2">
        <f>E939*F939</f>
        <v>0</v>
      </c>
      <c r="H939" s="2">
        <v>0</v>
      </c>
      <c r="I939" s="2">
        <f>ROUND(H939-G939, 2)</f>
        <v>0</v>
      </c>
      <c r="J939">
        <f>IF(ABS(I939)&gt;0.01, "Priority 3", "None")</f>
        <v>0</v>
      </c>
    </row>
    <row r="940" spans="1:10">
      <c r="A940" t="s">
        <v>2013</v>
      </c>
      <c r="B940" t="s">
        <v>1971</v>
      </c>
      <c r="C940">
        <v>32</v>
      </c>
      <c r="D940">
        <v>30.9</v>
      </c>
      <c r="E940">
        <f>MAX(ROUNDUP(D940, 0), C940)</f>
        <v>0</v>
      </c>
      <c r="F940" s="2">
        <v>7.55</v>
      </c>
      <c r="G940" s="2">
        <f>E940*F940</f>
        <v>0</v>
      </c>
      <c r="H940" s="2">
        <v>0</v>
      </c>
      <c r="I940" s="2">
        <f>ROUND(H940-G940, 2)</f>
        <v>0</v>
      </c>
      <c r="J940">
        <f>IF(ABS(I940)&gt;0.01, "Priority 3", "None")</f>
        <v>0</v>
      </c>
    </row>
    <row r="941" spans="1:10">
      <c r="A941" t="s">
        <v>2014</v>
      </c>
      <c r="B941" t="s">
        <v>1971</v>
      </c>
      <c r="C941">
        <v>70</v>
      </c>
      <c r="D941">
        <v>57.4</v>
      </c>
      <c r="E941">
        <f>MAX(ROUNDUP(D941, 0), C941)</f>
        <v>0</v>
      </c>
      <c r="F941" s="2">
        <v>7.55</v>
      </c>
      <c r="G941" s="2">
        <f>E941*F941</f>
        <v>0</v>
      </c>
      <c r="H941" s="2">
        <v>0</v>
      </c>
      <c r="I941" s="2">
        <f>ROUND(H941-G941, 2)</f>
        <v>0</v>
      </c>
      <c r="J941">
        <f>IF(ABS(I941)&gt;0.01, "Priority 3", "None")</f>
        <v>0</v>
      </c>
    </row>
    <row r="942" spans="1:10">
      <c r="A942" t="s">
        <v>2015</v>
      </c>
      <c r="B942" t="s">
        <v>1971</v>
      </c>
      <c r="C942">
        <v>28</v>
      </c>
      <c r="D942">
        <v>20.7</v>
      </c>
      <c r="E942">
        <f>MAX(ROUNDUP(D942, 0), C942)</f>
        <v>0</v>
      </c>
      <c r="F942" s="2">
        <v>7.55</v>
      </c>
      <c r="G942" s="2">
        <f>E942*F942</f>
        <v>0</v>
      </c>
      <c r="H942" s="2">
        <v>0</v>
      </c>
      <c r="I942" s="2">
        <f>ROUND(H942-G942, 2)</f>
        <v>0</v>
      </c>
      <c r="J942">
        <f>IF(ABS(I942)&gt;0.01, "Priority 3", "None")</f>
        <v>0</v>
      </c>
    </row>
    <row r="943" spans="1:10">
      <c r="A943" t="s">
        <v>2016</v>
      </c>
      <c r="B943" t="s">
        <v>1971</v>
      </c>
      <c r="C943">
        <v>24</v>
      </c>
      <c r="D943">
        <v>30</v>
      </c>
      <c r="E943">
        <f>MAX(ROUNDUP(D943, 0), C943)</f>
        <v>0</v>
      </c>
      <c r="F943" s="2">
        <v>7.55</v>
      </c>
      <c r="G943" s="2">
        <f>E943*F943</f>
        <v>0</v>
      </c>
      <c r="H943" s="2">
        <v>0</v>
      </c>
      <c r="I943" s="2">
        <f>ROUND(H943-G943, 2)</f>
        <v>0</v>
      </c>
      <c r="J943">
        <f>IF(ABS(I943)&gt;0.01, "Priority 3", "None")</f>
        <v>0</v>
      </c>
    </row>
    <row r="944" spans="1:10">
      <c r="A944" t="s">
        <v>2017</v>
      </c>
      <c r="B944" t="s">
        <v>1971</v>
      </c>
      <c r="C944">
        <v>24</v>
      </c>
      <c r="D944">
        <v>58.1</v>
      </c>
      <c r="E944">
        <f>MAX(ROUNDUP(D944, 0), C944)</f>
        <v>0</v>
      </c>
      <c r="F944" s="2">
        <v>7.55</v>
      </c>
      <c r="G944" s="2">
        <f>E944*F944</f>
        <v>0</v>
      </c>
      <c r="H944" s="2">
        <v>0</v>
      </c>
      <c r="I944" s="2">
        <f>ROUND(H944-G944, 2)</f>
        <v>0</v>
      </c>
      <c r="J944">
        <f>IF(ABS(I944)&gt;0.01, "Priority 3", "None")</f>
        <v>0</v>
      </c>
    </row>
    <row r="945" spans="1:10">
      <c r="A945" t="s">
        <v>2018</v>
      </c>
      <c r="B945" t="s">
        <v>1971</v>
      </c>
      <c r="C945">
        <v>70</v>
      </c>
      <c r="D945">
        <v>58.3</v>
      </c>
      <c r="E945">
        <f>MAX(ROUNDUP(D945, 0), C945)</f>
        <v>0</v>
      </c>
      <c r="F945" s="2">
        <v>7.55</v>
      </c>
      <c r="G945" s="2">
        <f>E945*F945</f>
        <v>0</v>
      </c>
      <c r="H945" s="2">
        <v>0</v>
      </c>
      <c r="I945" s="2">
        <f>ROUND(H945-G945, 2)</f>
        <v>0</v>
      </c>
      <c r="J945">
        <f>IF(ABS(I945)&gt;0.01, "Priority 3", "None")</f>
        <v>0</v>
      </c>
    </row>
    <row r="946" spans="1:10">
      <c r="A946" t="s">
        <v>2019</v>
      </c>
      <c r="B946" t="s">
        <v>1971</v>
      </c>
      <c r="C946">
        <v>70</v>
      </c>
      <c r="D946">
        <v>35.4</v>
      </c>
      <c r="E946">
        <f>MAX(ROUNDUP(D946, 0), C946)</f>
        <v>0</v>
      </c>
      <c r="F946" s="2">
        <v>7.55</v>
      </c>
      <c r="G946" s="2">
        <f>E946*F946</f>
        <v>0</v>
      </c>
      <c r="H946" s="2">
        <v>0</v>
      </c>
      <c r="I946" s="2">
        <f>ROUND(H946-G946, 2)</f>
        <v>0</v>
      </c>
      <c r="J946">
        <f>IF(ABS(I946)&gt;0.01, "Priority 3", "None")</f>
        <v>0</v>
      </c>
    </row>
    <row r="947" spans="1:10">
      <c r="A947" t="s">
        <v>2020</v>
      </c>
      <c r="B947" t="s">
        <v>1971</v>
      </c>
      <c r="C947">
        <v>32</v>
      </c>
      <c r="D947">
        <v>60.3</v>
      </c>
      <c r="E947">
        <f>MAX(ROUNDUP(D947, 0), C947)</f>
        <v>0</v>
      </c>
      <c r="F947" s="2">
        <v>7.55</v>
      </c>
      <c r="G947" s="2">
        <f>E947*F947</f>
        <v>0</v>
      </c>
      <c r="H947" s="2">
        <v>0</v>
      </c>
      <c r="I947" s="2">
        <f>ROUND(H947-G947, 2)</f>
        <v>0</v>
      </c>
      <c r="J947">
        <f>IF(ABS(I947)&gt;0.01, "Priority 3", "None")</f>
        <v>0</v>
      </c>
    </row>
    <row r="948" spans="1:10">
      <c r="A948" t="s">
        <v>2021</v>
      </c>
      <c r="B948" t="s">
        <v>1971</v>
      </c>
      <c r="C948">
        <v>50</v>
      </c>
      <c r="D948">
        <v>20.9</v>
      </c>
      <c r="E948">
        <f>MAX(ROUNDUP(D948, 0), C948)</f>
        <v>0</v>
      </c>
      <c r="F948" s="2">
        <v>7.55</v>
      </c>
      <c r="G948" s="2">
        <f>E948*F948</f>
        <v>0</v>
      </c>
      <c r="H948" s="2">
        <v>0</v>
      </c>
      <c r="I948" s="2">
        <f>ROUND(H948-G948, 2)</f>
        <v>0</v>
      </c>
      <c r="J948">
        <f>IF(ABS(I948)&gt;0.01, "Priority 3", "None")</f>
        <v>0</v>
      </c>
    </row>
    <row r="949" spans="1:10">
      <c r="A949" t="s">
        <v>2022</v>
      </c>
      <c r="B949" t="s">
        <v>1971</v>
      </c>
      <c r="C949">
        <v>40</v>
      </c>
      <c r="D949">
        <v>26.6</v>
      </c>
      <c r="E949">
        <f>MAX(ROUNDUP(D949, 0), C949)</f>
        <v>0</v>
      </c>
      <c r="F949" s="2">
        <v>7.55</v>
      </c>
      <c r="G949" s="2">
        <f>E949*F949</f>
        <v>0</v>
      </c>
      <c r="H949" s="2">
        <v>0</v>
      </c>
      <c r="I949" s="2">
        <f>ROUND(H949-G949, 2)</f>
        <v>0</v>
      </c>
      <c r="J949">
        <f>IF(ABS(I949)&gt;0.01, "Priority 3", "None")</f>
        <v>0</v>
      </c>
    </row>
    <row r="950" spans="1:10">
      <c r="A950" t="s">
        <v>2023</v>
      </c>
      <c r="B950" t="s">
        <v>1971</v>
      </c>
      <c r="C950">
        <v>28</v>
      </c>
      <c r="D950">
        <v>43.8</v>
      </c>
      <c r="E950">
        <f>MAX(ROUNDUP(D950, 0), C950)</f>
        <v>0</v>
      </c>
      <c r="F950" s="2">
        <v>7.55</v>
      </c>
      <c r="G950" s="2">
        <f>E950*F950</f>
        <v>0</v>
      </c>
      <c r="H950" s="2">
        <v>0</v>
      </c>
      <c r="I950" s="2">
        <f>ROUND(H950-G950, 2)</f>
        <v>0</v>
      </c>
      <c r="J950">
        <f>IF(ABS(I950)&gt;0.01, "Priority 3", "None")</f>
        <v>0</v>
      </c>
    </row>
    <row r="951" spans="1:10">
      <c r="A951" t="s">
        <v>2024</v>
      </c>
      <c r="B951" t="s">
        <v>1971</v>
      </c>
      <c r="C951">
        <v>50</v>
      </c>
      <c r="D951">
        <v>37.7</v>
      </c>
      <c r="E951">
        <f>MAX(ROUNDUP(D951, 0), C951)</f>
        <v>0</v>
      </c>
      <c r="F951" s="2">
        <v>7.55</v>
      </c>
      <c r="G951" s="2">
        <f>E951*F951</f>
        <v>0</v>
      </c>
      <c r="H951" s="2">
        <v>0</v>
      </c>
      <c r="I951" s="2">
        <f>ROUND(H951-G951, 2)</f>
        <v>0</v>
      </c>
      <c r="J951">
        <f>IF(ABS(I951)&gt;0.01, "Priority 3", "None")</f>
        <v>0</v>
      </c>
    </row>
    <row r="952" spans="1:10">
      <c r="A952" t="s">
        <v>2025</v>
      </c>
      <c r="B952" t="s">
        <v>1971</v>
      </c>
      <c r="C952">
        <v>24</v>
      </c>
      <c r="D952">
        <v>52.1</v>
      </c>
      <c r="E952">
        <f>MAX(ROUNDUP(D952, 0), C952)</f>
        <v>0</v>
      </c>
      <c r="F952" s="2">
        <v>7.55</v>
      </c>
      <c r="G952" s="2">
        <f>E952*F952</f>
        <v>0</v>
      </c>
      <c r="H952" s="2">
        <v>0</v>
      </c>
      <c r="I952" s="2">
        <f>ROUND(H952-G952, 2)</f>
        <v>0</v>
      </c>
      <c r="J952">
        <f>IF(ABS(I952)&gt;0.01, "Priority 3", "None")</f>
        <v>0</v>
      </c>
    </row>
    <row r="953" spans="1:10">
      <c r="A953" t="s">
        <v>2026</v>
      </c>
      <c r="B953" t="s">
        <v>1971</v>
      </c>
      <c r="C953">
        <v>70</v>
      </c>
      <c r="D953">
        <v>59.9</v>
      </c>
      <c r="E953">
        <f>MAX(ROUNDUP(D953, 0), C953)</f>
        <v>0</v>
      </c>
      <c r="F953" s="2">
        <v>7.55</v>
      </c>
      <c r="G953" s="2">
        <f>E953*F953</f>
        <v>0</v>
      </c>
      <c r="H953" s="2">
        <v>0</v>
      </c>
      <c r="I953" s="2">
        <f>ROUND(H953-G953, 2)</f>
        <v>0</v>
      </c>
      <c r="J953">
        <f>IF(ABS(I953)&gt;0.01, "Priority 3", "None")</f>
        <v>0</v>
      </c>
    </row>
    <row r="954" spans="1:10">
      <c r="A954" t="s">
        <v>2027</v>
      </c>
      <c r="B954" t="s">
        <v>1971</v>
      </c>
      <c r="C954">
        <v>24</v>
      </c>
      <c r="D954">
        <v>55.5</v>
      </c>
      <c r="E954">
        <f>MAX(ROUNDUP(D954, 0), C954)</f>
        <v>0</v>
      </c>
      <c r="F954" s="2">
        <v>7.55</v>
      </c>
      <c r="G954" s="2">
        <f>E954*F954</f>
        <v>0</v>
      </c>
      <c r="H954" s="2">
        <v>0</v>
      </c>
      <c r="I954" s="2">
        <f>ROUND(H954-G954, 2)</f>
        <v>0</v>
      </c>
      <c r="J954">
        <f>IF(ABS(I954)&gt;0.01, "Priority 3", "None")</f>
        <v>0</v>
      </c>
    </row>
    <row r="955" spans="1:10">
      <c r="A955" t="s">
        <v>2028</v>
      </c>
      <c r="B955" t="s">
        <v>1971</v>
      </c>
      <c r="C955">
        <v>24</v>
      </c>
      <c r="D955">
        <v>32.9</v>
      </c>
      <c r="E955">
        <f>MAX(ROUNDUP(D955, 0), C955)</f>
        <v>0</v>
      </c>
      <c r="F955" s="2">
        <v>7.55</v>
      </c>
      <c r="G955" s="2">
        <f>E955*F955</f>
        <v>0</v>
      </c>
      <c r="H955" s="2">
        <v>0</v>
      </c>
      <c r="I955" s="2">
        <f>ROUND(H955-G955, 2)</f>
        <v>0</v>
      </c>
      <c r="J955">
        <f>IF(ABS(I955)&gt;0.01, "Priority 3", "None")</f>
        <v>0</v>
      </c>
    </row>
    <row r="956" spans="1:10">
      <c r="A956" t="s">
        <v>2029</v>
      </c>
      <c r="B956" t="s">
        <v>1971</v>
      </c>
      <c r="C956">
        <v>28</v>
      </c>
      <c r="D956">
        <v>45.8</v>
      </c>
      <c r="E956">
        <f>MAX(ROUNDUP(D956, 0), C956)</f>
        <v>0</v>
      </c>
      <c r="F956" s="2">
        <v>7.55</v>
      </c>
      <c r="G956" s="2">
        <f>E956*F956</f>
        <v>0</v>
      </c>
      <c r="H956" s="2">
        <v>0</v>
      </c>
      <c r="I956" s="2">
        <f>ROUND(H956-G956, 2)</f>
        <v>0</v>
      </c>
      <c r="J956">
        <f>IF(ABS(I956)&gt;0.01, "Priority 3", "None")</f>
        <v>0</v>
      </c>
    </row>
    <row r="957" spans="1:10">
      <c r="A957" t="s">
        <v>2030</v>
      </c>
      <c r="B957" t="s">
        <v>1971</v>
      </c>
      <c r="C957">
        <v>28</v>
      </c>
      <c r="D957">
        <v>27.1</v>
      </c>
      <c r="E957">
        <f>MAX(ROUNDUP(D957, 0), C957)</f>
        <v>0</v>
      </c>
      <c r="F957" s="2">
        <v>7.55</v>
      </c>
      <c r="G957" s="2">
        <f>E957*F957</f>
        <v>0</v>
      </c>
      <c r="H957" s="2">
        <v>0</v>
      </c>
      <c r="I957" s="2">
        <f>ROUND(H957-G957, 2)</f>
        <v>0</v>
      </c>
      <c r="J957">
        <f>IF(ABS(I957)&gt;0.01, "Priority 3", "None")</f>
        <v>0</v>
      </c>
    </row>
    <row r="958" spans="1:10">
      <c r="A958" t="s">
        <v>2031</v>
      </c>
      <c r="B958" t="s">
        <v>1971</v>
      </c>
      <c r="C958">
        <v>32</v>
      </c>
      <c r="D958">
        <v>53.4</v>
      </c>
      <c r="E958">
        <f>MAX(ROUNDUP(D958, 0), C958)</f>
        <v>0</v>
      </c>
      <c r="F958" s="2">
        <v>7.55</v>
      </c>
      <c r="G958" s="2">
        <f>E958*F958</f>
        <v>0</v>
      </c>
      <c r="H958" s="2">
        <v>0</v>
      </c>
      <c r="I958" s="2">
        <f>ROUND(H958-G958, 2)</f>
        <v>0</v>
      </c>
      <c r="J958">
        <f>IF(ABS(I958)&gt;0.01, "Priority 3", "None")</f>
        <v>0</v>
      </c>
    </row>
    <row r="959" spans="1:10">
      <c r="A959" t="s">
        <v>2032</v>
      </c>
      <c r="B959" t="s">
        <v>1971</v>
      </c>
      <c r="C959">
        <v>36</v>
      </c>
      <c r="D959">
        <v>28.9</v>
      </c>
      <c r="E959">
        <f>MAX(ROUNDUP(D959, 0), C959)</f>
        <v>0</v>
      </c>
      <c r="F959" s="2">
        <v>7.55</v>
      </c>
      <c r="G959" s="2">
        <f>E959*F959</f>
        <v>0</v>
      </c>
      <c r="H959" s="2">
        <v>0</v>
      </c>
      <c r="I959" s="2">
        <f>ROUND(H959-G959, 2)</f>
        <v>0</v>
      </c>
      <c r="J959">
        <f>IF(ABS(I959)&gt;0.01, "Priority 3", "None")</f>
        <v>0</v>
      </c>
    </row>
    <row r="960" spans="1:10">
      <c r="A960" t="s">
        <v>2033</v>
      </c>
      <c r="B960" t="s">
        <v>1971</v>
      </c>
      <c r="C960">
        <v>45</v>
      </c>
      <c r="D960">
        <v>24</v>
      </c>
      <c r="E960">
        <f>MAX(ROUNDUP(D960, 0), C960)</f>
        <v>0</v>
      </c>
      <c r="F960" s="2">
        <v>7.55</v>
      </c>
      <c r="G960" s="2">
        <f>E960*F960</f>
        <v>0</v>
      </c>
      <c r="H960" s="2">
        <v>0</v>
      </c>
      <c r="I960" s="2">
        <f>ROUND(H960-G960, 2)</f>
        <v>0</v>
      </c>
      <c r="J960">
        <f>IF(ABS(I960)&gt;0.01, "Priority 3", "None")</f>
        <v>0</v>
      </c>
    </row>
    <row r="961" spans="1:10">
      <c r="A961" t="s">
        <v>2034</v>
      </c>
      <c r="B961" t="s">
        <v>1971</v>
      </c>
      <c r="C961">
        <v>24</v>
      </c>
      <c r="D961">
        <v>35.5</v>
      </c>
      <c r="E961">
        <f>MAX(ROUNDUP(D961, 0), C961)</f>
        <v>0</v>
      </c>
      <c r="F961" s="2">
        <v>7.55</v>
      </c>
      <c r="G961" s="2">
        <f>E961*F961</f>
        <v>0</v>
      </c>
      <c r="H961" s="2">
        <v>0</v>
      </c>
      <c r="I961" s="2">
        <f>ROUND(H961-G961, 2)</f>
        <v>0</v>
      </c>
      <c r="J961">
        <f>IF(ABS(I961)&gt;0.01, "Priority 3", "None")</f>
        <v>0</v>
      </c>
    </row>
    <row r="962" spans="1:10">
      <c r="A962" t="s">
        <v>2035</v>
      </c>
      <c r="B962" t="s">
        <v>1971</v>
      </c>
      <c r="C962">
        <v>70</v>
      </c>
      <c r="D962">
        <v>47.1</v>
      </c>
      <c r="E962">
        <f>MAX(ROUNDUP(D962, 0), C962)</f>
        <v>0</v>
      </c>
      <c r="F962" s="2">
        <v>7.55</v>
      </c>
      <c r="G962" s="2">
        <f>E962*F962</f>
        <v>0</v>
      </c>
      <c r="H962" s="2">
        <v>0</v>
      </c>
      <c r="I962" s="2">
        <f>ROUND(H962-G962, 2)</f>
        <v>0</v>
      </c>
      <c r="J962">
        <f>IF(ABS(I962)&gt;0.01, "Priority 3", "None")</f>
        <v>0</v>
      </c>
    </row>
    <row r="963" spans="1:10">
      <c r="A963" t="s">
        <v>2036</v>
      </c>
      <c r="B963" t="s">
        <v>1971</v>
      </c>
      <c r="C963">
        <v>32</v>
      </c>
      <c r="D963">
        <v>48.1</v>
      </c>
      <c r="E963">
        <f>MAX(ROUNDUP(D963, 0), C963)</f>
        <v>0</v>
      </c>
      <c r="F963" s="2">
        <v>7.55</v>
      </c>
      <c r="G963" s="2">
        <f>E963*F963</f>
        <v>0</v>
      </c>
      <c r="H963" s="2">
        <v>0</v>
      </c>
      <c r="I963" s="2">
        <f>ROUND(H963-G963, 2)</f>
        <v>0</v>
      </c>
      <c r="J963">
        <f>IF(ABS(I963)&gt;0.01, "Priority 3", "None")</f>
        <v>0</v>
      </c>
    </row>
    <row r="964" spans="1:10">
      <c r="A964" t="s">
        <v>2037</v>
      </c>
      <c r="B964" t="s">
        <v>1971</v>
      </c>
      <c r="C964">
        <v>60</v>
      </c>
      <c r="D964">
        <v>23.8</v>
      </c>
      <c r="E964">
        <f>MAX(ROUNDUP(D964, 0), C964)</f>
        <v>0</v>
      </c>
      <c r="F964" s="2">
        <v>7.55</v>
      </c>
      <c r="G964" s="2">
        <f>E964*F964</f>
        <v>0</v>
      </c>
      <c r="H964" s="2">
        <v>0</v>
      </c>
      <c r="I964" s="2">
        <f>ROUND(H964-G964, 2)</f>
        <v>0</v>
      </c>
      <c r="J964">
        <f>IF(ABS(I964)&gt;0.01, "Priority 3", "None")</f>
        <v>0</v>
      </c>
    </row>
    <row r="965" spans="1:10">
      <c r="A965" t="s">
        <v>2038</v>
      </c>
      <c r="B965" t="s">
        <v>1971</v>
      </c>
      <c r="C965">
        <v>32</v>
      </c>
      <c r="D965">
        <v>53.9</v>
      </c>
      <c r="E965">
        <f>MAX(ROUNDUP(D965, 0), C965)</f>
        <v>0</v>
      </c>
      <c r="F965" s="2">
        <v>7.55</v>
      </c>
      <c r="G965" s="2">
        <f>E965*F965</f>
        <v>0</v>
      </c>
      <c r="H965" s="2">
        <v>0</v>
      </c>
      <c r="I965" s="2">
        <f>ROUND(H965-G965, 2)</f>
        <v>0</v>
      </c>
      <c r="J965">
        <f>IF(ABS(I965)&gt;0.01, "Priority 3", "None")</f>
        <v>0</v>
      </c>
    </row>
    <row r="966" spans="1:10">
      <c r="A966" t="s">
        <v>2039</v>
      </c>
      <c r="B966" t="s">
        <v>1971</v>
      </c>
      <c r="C966">
        <v>24</v>
      </c>
      <c r="D966">
        <v>47.7</v>
      </c>
      <c r="E966">
        <f>MAX(ROUNDUP(D966, 0), C966)</f>
        <v>0</v>
      </c>
      <c r="F966" s="2">
        <v>7.55</v>
      </c>
      <c r="G966" s="2">
        <f>E966*F966</f>
        <v>0</v>
      </c>
      <c r="H966" s="2">
        <v>0</v>
      </c>
      <c r="I966" s="2">
        <f>ROUND(H966-G966, 2)</f>
        <v>0</v>
      </c>
      <c r="J966">
        <f>IF(ABS(I966)&gt;0.01, "Priority 3", "None")</f>
        <v>0</v>
      </c>
    </row>
    <row r="967" spans="1:10">
      <c r="A967" t="s">
        <v>2040</v>
      </c>
      <c r="B967" t="s">
        <v>1971</v>
      </c>
      <c r="C967">
        <v>40</v>
      </c>
      <c r="D967">
        <v>54.9</v>
      </c>
      <c r="E967">
        <f>MAX(ROUNDUP(D967, 0), C967)</f>
        <v>0</v>
      </c>
      <c r="F967" s="2">
        <v>7.55</v>
      </c>
      <c r="G967" s="2">
        <f>E967*F967</f>
        <v>0</v>
      </c>
      <c r="H967" s="2">
        <v>0</v>
      </c>
      <c r="I967" s="2">
        <f>ROUND(H967-G967, 2)</f>
        <v>0</v>
      </c>
      <c r="J967">
        <f>IF(ABS(I967)&gt;0.01, "Priority 3", "None")</f>
        <v>0</v>
      </c>
    </row>
    <row r="968" spans="1:10">
      <c r="A968" t="s">
        <v>2041</v>
      </c>
      <c r="B968" t="s">
        <v>1971</v>
      </c>
      <c r="C968">
        <v>45</v>
      </c>
      <c r="D968">
        <v>57.3</v>
      </c>
      <c r="E968">
        <f>MAX(ROUNDUP(D968, 0), C968)</f>
        <v>0</v>
      </c>
      <c r="F968" s="2">
        <v>7.55</v>
      </c>
      <c r="G968" s="2">
        <f>E968*F968</f>
        <v>0</v>
      </c>
      <c r="H968" s="2">
        <v>0</v>
      </c>
      <c r="I968" s="2">
        <f>ROUND(H968-G968, 2)</f>
        <v>0</v>
      </c>
      <c r="J968">
        <f>IF(ABS(I968)&gt;0.01, "Priority 3", "None")</f>
        <v>0</v>
      </c>
    </row>
    <row r="969" spans="1:10">
      <c r="A969" t="s">
        <v>2042</v>
      </c>
      <c r="B969" t="s">
        <v>1971</v>
      </c>
      <c r="C969">
        <v>40</v>
      </c>
      <c r="D969">
        <v>55.3</v>
      </c>
      <c r="E969">
        <f>MAX(ROUNDUP(D969, 0), C969)</f>
        <v>0</v>
      </c>
      <c r="F969" s="2">
        <v>7.55</v>
      </c>
      <c r="G969" s="2">
        <f>E969*F969</f>
        <v>0</v>
      </c>
      <c r="H969" s="2">
        <v>0</v>
      </c>
      <c r="I969" s="2">
        <f>ROUND(H969-G969, 2)</f>
        <v>0</v>
      </c>
      <c r="J969">
        <f>IF(ABS(I969)&gt;0.01, "Priority 3", "None")</f>
        <v>0</v>
      </c>
    </row>
    <row r="970" spans="1:10">
      <c r="A970" t="s">
        <v>2043</v>
      </c>
      <c r="B970" t="s">
        <v>1971</v>
      </c>
      <c r="C970">
        <v>24</v>
      </c>
      <c r="D970">
        <v>32.7</v>
      </c>
      <c r="E970">
        <f>MAX(ROUNDUP(D970, 0), C970)</f>
        <v>0</v>
      </c>
      <c r="F970" s="2">
        <v>7.55</v>
      </c>
      <c r="G970" s="2">
        <f>E970*F970</f>
        <v>0</v>
      </c>
      <c r="H970" s="2">
        <v>0</v>
      </c>
      <c r="I970" s="2">
        <f>ROUND(H970-G970, 2)</f>
        <v>0</v>
      </c>
      <c r="J970">
        <f>IF(ABS(I970)&gt;0.01, "Priority 3", "None")</f>
        <v>0</v>
      </c>
    </row>
    <row r="971" spans="1:10">
      <c r="A971" t="s">
        <v>2044</v>
      </c>
      <c r="B971" t="s">
        <v>1971</v>
      </c>
      <c r="C971">
        <v>28</v>
      </c>
      <c r="D971">
        <v>50.7</v>
      </c>
      <c r="E971">
        <f>MAX(ROUNDUP(D971, 0), C971)</f>
        <v>0</v>
      </c>
      <c r="F971" s="2">
        <v>7.55</v>
      </c>
      <c r="G971" s="2">
        <f>E971*F971</f>
        <v>0</v>
      </c>
      <c r="H971" s="2">
        <v>0</v>
      </c>
      <c r="I971" s="2">
        <f>ROUND(H971-G971, 2)</f>
        <v>0</v>
      </c>
      <c r="J971">
        <f>IF(ABS(I971)&gt;0.01, "Priority 3", "None")</f>
        <v>0</v>
      </c>
    </row>
    <row r="972" spans="1:10">
      <c r="A972" t="s">
        <v>2045</v>
      </c>
      <c r="B972" t="s">
        <v>1971</v>
      </c>
      <c r="C972">
        <v>40</v>
      </c>
      <c r="D972">
        <v>28.6</v>
      </c>
      <c r="E972">
        <f>MAX(ROUNDUP(D972, 0), C972)</f>
        <v>0</v>
      </c>
      <c r="F972" s="2">
        <v>7.55</v>
      </c>
      <c r="G972" s="2">
        <f>E972*F972</f>
        <v>0</v>
      </c>
      <c r="H972" s="2">
        <v>0</v>
      </c>
      <c r="I972" s="2">
        <f>ROUND(H972-G972, 2)</f>
        <v>0</v>
      </c>
      <c r="J972">
        <f>IF(ABS(I972)&gt;0.01, "Priority 3", "None")</f>
        <v>0</v>
      </c>
    </row>
    <row r="973" spans="1:10">
      <c r="A973" t="s">
        <v>2046</v>
      </c>
      <c r="B973" t="s">
        <v>1971</v>
      </c>
      <c r="C973">
        <v>24</v>
      </c>
      <c r="D973">
        <v>31.4</v>
      </c>
      <c r="E973">
        <f>MAX(ROUNDUP(D973, 0), C973)</f>
        <v>0</v>
      </c>
      <c r="F973" s="2">
        <v>7.55</v>
      </c>
      <c r="G973" s="2">
        <f>E973*F973</f>
        <v>0</v>
      </c>
      <c r="H973" s="2">
        <v>0</v>
      </c>
      <c r="I973" s="2">
        <f>ROUND(H973-G973, 2)</f>
        <v>0</v>
      </c>
      <c r="J973">
        <f>IF(ABS(I973)&gt;0.01, "Priority 3", "None")</f>
        <v>0</v>
      </c>
    </row>
    <row r="974" spans="1:10">
      <c r="A974" t="s">
        <v>2047</v>
      </c>
      <c r="B974" t="s">
        <v>1971</v>
      </c>
      <c r="C974">
        <v>24</v>
      </c>
      <c r="D974">
        <v>28.3</v>
      </c>
      <c r="E974">
        <f>MAX(ROUNDUP(D974, 0), C974)</f>
        <v>0</v>
      </c>
      <c r="F974" s="2">
        <v>7.55</v>
      </c>
      <c r="G974" s="2">
        <f>E974*F974</f>
        <v>0</v>
      </c>
      <c r="H974" s="2">
        <v>0</v>
      </c>
      <c r="I974" s="2">
        <f>ROUND(H974-G974, 2)</f>
        <v>0</v>
      </c>
      <c r="J974">
        <f>IF(ABS(I974)&gt;0.01, "Priority 3", "None")</f>
        <v>0</v>
      </c>
    </row>
    <row r="975" spans="1:10">
      <c r="A975" t="s">
        <v>2048</v>
      </c>
      <c r="B975" t="s">
        <v>1971</v>
      </c>
      <c r="C975">
        <v>70</v>
      </c>
      <c r="D975">
        <v>53.3</v>
      </c>
      <c r="E975">
        <f>MAX(ROUNDUP(D975, 0), C975)</f>
        <v>0</v>
      </c>
      <c r="F975" s="2">
        <v>7.55</v>
      </c>
      <c r="G975" s="2">
        <f>E975*F975</f>
        <v>0</v>
      </c>
      <c r="H975" s="2">
        <v>0</v>
      </c>
      <c r="I975" s="2">
        <f>ROUND(H975-G975, 2)</f>
        <v>0</v>
      </c>
      <c r="J975">
        <f>IF(ABS(I975)&gt;0.01, "Priority 3", "None")</f>
        <v>0</v>
      </c>
    </row>
    <row r="976" spans="1:10">
      <c r="A976" t="s">
        <v>2049</v>
      </c>
      <c r="B976" t="s">
        <v>1971</v>
      </c>
      <c r="C976">
        <v>45</v>
      </c>
      <c r="D976">
        <v>27.8</v>
      </c>
      <c r="E976">
        <f>MAX(ROUNDUP(D976, 0), C976)</f>
        <v>0</v>
      </c>
      <c r="F976" s="2">
        <v>7.55</v>
      </c>
      <c r="G976" s="2">
        <f>E976*F976</f>
        <v>0</v>
      </c>
      <c r="H976" s="2">
        <v>0</v>
      </c>
      <c r="I976" s="2">
        <f>ROUND(H976-G976, 2)</f>
        <v>0</v>
      </c>
      <c r="J976">
        <f>IF(ABS(I976)&gt;0.01, "Priority 3", "None")</f>
        <v>0</v>
      </c>
    </row>
    <row r="977" spans="1:10">
      <c r="A977" t="s">
        <v>2050</v>
      </c>
      <c r="B977" t="s">
        <v>1971</v>
      </c>
      <c r="C977">
        <v>32</v>
      </c>
      <c r="D977">
        <v>59.1</v>
      </c>
      <c r="E977">
        <f>MAX(ROUNDUP(D977, 0), C977)</f>
        <v>0</v>
      </c>
      <c r="F977" s="2">
        <v>7.55</v>
      </c>
      <c r="G977" s="2">
        <f>E977*F977</f>
        <v>0</v>
      </c>
      <c r="H977" s="2">
        <v>0</v>
      </c>
      <c r="I977" s="2">
        <f>ROUND(H977-G977, 2)</f>
        <v>0</v>
      </c>
      <c r="J977">
        <f>IF(ABS(I977)&gt;0.01, "Priority 3", "None")</f>
        <v>0</v>
      </c>
    </row>
    <row r="978" spans="1:10">
      <c r="A978" t="s">
        <v>2051</v>
      </c>
      <c r="B978" t="s">
        <v>1971</v>
      </c>
      <c r="C978">
        <v>28</v>
      </c>
      <c r="D978">
        <v>41.5</v>
      </c>
      <c r="E978">
        <f>MAX(ROUNDUP(D978, 0), C978)</f>
        <v>0</v>
      </c>
      <c r="F978" s="2">
        <v>7.55</v>
      </c>
      <c r="G978" s="2">
        <f>E978*F978</f>
        <v>0</v>
      </c>
      <c r="H978" s="2">
        <v>0</v>
      </c>
      <c r="I978" s="2">
        <f>ROUND(H978-G978, 2)</f>
        <v>0</v>
      </c>
      <c r="J978">
        <f>IF(ABS(I978)&gt;0.01, "Priority 3", "None")</f>
        <v>0</v>
      </c>
    </row>
    <row r="979" spans="1:10">
      <c r="A979" t="s">
        <v>2052</v>
      </c>
      <c r="B979" t="s">
        <v>1971</v>
      </c>
      <c r="C979">
        <v>28</v>
      </c>
      <c r="D979">
        <v>41.9</v>
      </c>
      <c r="E979">
        <f>MAX(ROUNDUP(D979, 0), C979)</f>
        <v>0</v>
      </c>
      <c r="F979" s="2">
        <v>7.55</v>
      </c>
      <c r="G979" s="2">
        <f>E979*F979</f>
        <v>0</v>
      </c>
      <c r="H979" s="2">
        <v>0</v>
      </c>
      <c r="I979" s="2">
        <f>ROUND(H979-G979, 2)</f>
        <v>0</v>
      </c>
      <c r="J979">
        <f>IF(ABS(I979)&gt;0.01, "Priority 3", "None")</f>
        <v>0</v>
      </c>
    </row>
    <row r="980" spans="1:10">
      <c r="A980" t="s">
        <v>2053</v>
      </c>
      <c r="B980" t="s">
        <v>1971</v>
      </c>
      <c r="C980">
        <v>45</v>
      </c>
      <c r="D980">
        <v>38.2</v>
      </c>
      <c r="E980">
        <f>MAX(ROUNDUP(D980, 0), C980)</f>
        <v>0</v>
      </c>
      <c r="F980" s="2">
        <v>7.55</v>
      </c>
      <c r="G980" s="2">
        <f>E980*F980</f>
        <v>0</v>
      </c>
      <c r="H980" s="2">
        <v>0</v>
      </c>
      <c r="I980" s="2">
        <f>ROUND(H980-G980, 2)</f>
        <v>0</v>
      </c>
      <c r="J980">
        <f>IF(ABS(I980)&gt;0.01, "Priority 3", "None")</f>
        <v>0</v>
      </c>
    </row>
    <row r="981" spans="1:10">
      <c r="A981" t="s">
        <v>2054</v>
      </c>
      <c r="B981" t="s">
        <v>1971</v>
      </c>
      <c r="C981">
        <v>32</v>
      </c>
      <c r="D981">
        <v>48.2</v>
      </c>
      <c r="E981">
        <f>MAX(ROUNDUP(D981, 0), C981)</f>
        <v>0</v>
      </c>
      <c r="F981" s="2">
        <v>7.55</v>
      </c>
      <c r="G981" s="2">
        <f>E981*F981</f>
        <v>0</v>
      </c>
      <c r="H981" s="2">
        <v>0</v>
      </c>
      <c r="I981" s="2">
        <f>ROUND(H981-G981, 2)</f>
        <v>0</v>
      </c>
      <c r="J981">
        <f>IF(ABS(I981)&gt;0.01, "Priority 3", "None")</f>
        <v>0</v>
      </c>
    </row>
    <row r="982" spans="1:10">
      <c r="A982" t="s">
        <v>2055</v>
      </c>
      <c r="B982" t="s">
        <v>1971</v>
      </c>
      <c r="C982">
        <v>32</v>
      </c>
      <c r="D982">
        <v>61.2</v>
      </c>
      <c r="E982">
        <f>MAX(ROUNDUP(D982, 0), C982)</f>
        <v>0</v>
      </c>
      <c r="F982" s="2">
        <v>7.55</v>
      </c>
      <c r="G982" s="2">
        <f>E982*F982</f>
        <v>0</v>
      </c>
      <c r="H982" s="2">
        <v>0</v>
      </c>
      <c r="I982" s="2">
        <f>ROUND(H982-G982, 2)</f>
        <v>0</v>
      </c>
      <c r="J982">
        <f>IF(ABS(I982)&gt;0.01, "Priority 3", "None")</f>
        <v>0</v>
      </c>
    </row>
    <row r="983" spans="1:10">
      <c r="A983" t="s">
        <v>2056</v>
      </c>
      <c r="B983" t="s">
        <v>1971</v>
      </c>
      <c r="C983">
        <v>60</v>
      </c>
      <c r="D983">
        <v>48.4</v>
      </c>
      <c r="E983">
        <f>MAX(ROUNDUP(D983, 0), C983)</f>
        <v>0</v>
      </c>
      <c r="F983" s="2">
        <v>7.55</v>
      </c>
      <c r="G983" s="2">
        <f>E983*F983</f>
        <v>0</v>
      </c>
      <c r="H983" s="2">
        <v>0</v>
      </c>
      <c r="I983" s="2">
        <f>ROUND(H983-G983, 2)</f>
        <v>0</v>
      </c>
      <c r="J983">
        <f>IF(ABS(I983)&gt;0.01, "Priority 3", "None")</f>
        <v>0</v>
      </c>
    </row>
    <row r="984" spans="1:10">
      <c r="A984" t="s">
        <v>2057</v>
      </c>
      <c r="B984" t="s">
        <v>1971</v>
      </c>
      <c r="C984">
        <v>24</v>
      </c>
      <c r="D984">
        <v>26.5</v>
      </c>
      <c r="E984">
        <f>MAX(ROUNDUP(D984, 0), C984)</f>
        <v>0</v>
      </c>
      <c r="F984" s="2">
        <v>7.55</v>
      </c>
      <c r="G984" s="2">
        <f>E984*F984</f>
        <v>0</v>
      </c>
      <c r="H984" s="2">
        <v>0</v>
      </c>
      <c r="I984" s="2">
        <f>ROUND(H984-G984, 2)</f>
        <v>0</v>
      </c>
      <c r="J984">
        <f>IF(ABS(I984)&gt;0.01, "Priority 3", "None")</f>
        <v>0</v>
      </c>
    </row>
    <row r="985" spans="1:10">
      <c r="A985" t="s">
        <v>2058</v>
      </c>
      <c r="B985" t="s">
        <v>1971</v>
      </c>
      <c r="C985">
        <v>80</v>
      </c>
      <c r="D985">
        <v>53.2</v>
      </c>
      <c r="E985">
        <f>MAX(ROUNDUP(D985, 0), C985)</f>
        <v>0</v>
      </c>
      <c r="F985" s="2">
        <v>7.55</v>
      </c>
      <c r="G985" s="2">
        <f>E985*F985</f>
        <v>0</v>
      </c>
      <c r="H985" s="2">
        <v>0</v>
      </c>
      <c r="I985" s="2">
        <f>ROUND(H985-G985, 2)</f>
        <v>0</v>
      </c>
      <c r="J985">
        <f>IF(ABS(I985)&gt;0.01, "Priority 3", "None")</f>
        <v>0</v>
      </c>
    </row>
    <row r="986" spans="1:10">
      <c r="A986" t="s">
        <v>2059</v>
      </c>
      <c r="B986" t="s">
        <v>1971</v>
      </c>
      <c r="C986">
        <v>24</v>
      </c>
      <c r="D986">
        <v>52.5</v>
      </c>
      <c r="E986">
        <f>MAX(ROUNDUP(D986, 0), C986)</f>
        <v>0</v>
      </c>
      <c r="F986" s="2">
        <v>7.55</v>
      </c>
      <c r="G986" s="2">
        <f>E986*F986</f>
        <v>0</v>
      </c>
      <c r="H986" s="2">
        <v>0</v>
      </c>
      <c r="I986" s="2">
        <f>ROUND(H986-G986, 2)</f>
        <v>0</v>
      </c>
      <c r="J986">
        <f>IF(ABS(I986)&gt;0.01, "Priority 3", "None")</f>
        <v>0</v>
      </c>
    </row>
    <row r="987" spans="1:10">
      <c r="A987" t="s">
        <v>2060</v>
      </c>
      <c r="B987" t="s">
        <v>1971</v>
      </c>
      <c r="C987">
        <v>80</v>
      </c>
      <c r="D987">
        <v>40.6</v>
      </c>
      <c r="E987">
        <f>MAX(ROUNDUP(D987, 0), C987)</f>
        <v>0</v>
      </c>
      <c r="F987" s="2">
        <v>7.55</v>
      </c>
      <c r="G987" s="2">
        <f>E987*F987</f>
        <v>0</v>
      </c>
      <c r="H987" s="2">
        <v>0</v>
      </c>
      <c r="I987" s="2">
        <f>ROUND(H987-G987, 2)</f>
        <v>0</v>
      </c>
      <c r="J987">
        <f>IF(ABS(I987)&gt;0.01, "Priority 3", "None")</f>
        <v>0</v>
      </c>
    </row>
    <row r="988" spans="1:10">
      <c r="A988" t="s">
        <v>2061</v>
      </c>
      <c r="B988" t="s">
        <v>1971</v>
      </c>
      <c r="C988">
        <v>45</v>
      </c>
      <c r="D988">
        <v>37.5</v>
      </c>
      <c r="E988">
        <f>MAX(ROUNDUP(D988, 0), C988)</f>
        <v>0</v>
      </c>
      <c r="F988" s="2">
        <v>7.55</v>
      </c>
      <c r="G988" s="2">
        <f>E988*F988</f>
        <v>0</v>
      </c>
      <c r="H988" s="2">
        <v>0</v>
      </c>
      <c r="I988" s="2">
        <f>ROUND(H988-G988, 2)</f>
        <v>0</v>
      </c>
      <c r="J988">
        <f>IF(ABS(I988)&gt;0.01, "Priority 3", "None")</f>
        <v>0</v>
      </c>
    </row>
    <row r="989" spans="1:10">
      <c r="A989" t="s">
        <v>2062</v>
      </c>
      <c r="B989" t="s">
        <v>1971</v>
      </c>
      <c r="C989">
        <v>70</v>
      </c>
      <c r="D989">
        <v>54.6</v>
      </c>
      <c r="E989">
        <f>MAX(ROUNDUP(D989, 0), C989)</f>
        <v>0</v>
      </c>
      <c r="F989" s="2">
        <v>7.55</v>
      </c>
      <c r="G989" s="2">
        <f>E989*F989</f>
        <v>0</v>
      </c>
      <c r="H989" s="2">
        <v>0</v>
      </c>
      <c r="I989" s="2">
        <f>ROUND(H989-G989, 2)</f>
        <v>0</v>
      </c>
      <c r="J989">
        <f>IF(ABS(I989)&gt;0.01, "Priority 3", "None")</f>
        <v>0</v>
      </c>
    </row>
    <row r="990" spans="1:10">
      <c r="A990" t="s">
        <v>2063</v>
      </c>
      <c r="B990" t="s">
        <v>1971</v>
      </c>
      <c r="C990">
        <v>80</v>
      </c>
      <c r="D990">
        <v>46.1</v>
      </c>
      <c r="E990">
        <f>MAX(ROUNDUP(D990, 0), C990)</f>
        <v>0</v>
      </c>
      <c r="F990" s="2">
        <v>7.55</v>
      </c>
      <c r="G990" s="2">
        <f>E990*F990</f>
        <v>0</v>
      </c>
      <c r="H990" s="2">
        <v>0</v>
      </c>
      <c r="I990" s="2">
        <f>ROUND(H990-G990, 2)</f>
        <v>0</v>
      </c>
      <c r="J990">
        <f>IF(ABS(I990)&gt;0.01, "Priority 3", "None")</f>
        <v>0</v>
      </c>
    </row>
    <row r="991" spans="1:10">
      <c r="A991" t="s">
        <v>2064</v>
      </c>
      <c r="B991" t="s">
        <v>1971</v>
      </c>
      <c r="C991">
        <v>32</v>
      </c>
      <c r="D991">
        <v>47.8</v>
      </c>
      <c r="E991">
        <f>MAX(ROUNDUP(D991, 0), C991)</f>
        <v>0</v>
      </c>
      <c r="F991" s="2">
        <v>7.55</v>
      </c>
      <c r="G991" s="2">
        <f>E991*F991</f>
        <v>0</v>
      </c>
      <c r="H991" s="2">
        <v>0</v>
      </c>
      <c r="I991" s="2">
        <f>ROUND(H991-G991, 2)</f>
        <v>0</v>
      </c>
      <c r="J991">
        <f>IF(ABS(I991)&gt;0.01, "Priority 3", "None")</f>
        <v>0</v>
      </c>
    </row>
    <row r="992" spans="1:10">
      <c r="A992" t="s">
        <v>2065</v>
      </c>
      <c r="B992" t="s">
        <v>1971</v>
      </c>
      <c r="C992">
        <v>24</v>
      </c>
      <c r="D992">
        <v>27.5</v>
      </c>
      <c r="E992">
        <f>MAX(ROUNDUP(D992, 0), C992)</f>
        <v>0</v>
      </c>
      <c r="F992" s="2">
        <v>7.55</v>
      </c>
      <c r="G992" s="2">
        <f>E992*F992</f>
        <v>0</v>
      </c>
      <c r="H992" s="2">
        <v>0</v>
      </c>
      <c r="I992" s="2">
        <f>ROUND(H992-G992, 2)</f>
        <v>0</v>
      </c>
      <c r="J992">
        <f>IF(ABS(I992)&gt;0.01, "Priority 3", "None")</f>
        <v>0</v>
      </c>
    </row>
    <row r="993" spans="1:10">
      <c r="A993" t="s">
        <v>2066</v>
      </c>
      <c r="B993" t="s">
        <v>1971</v>
      </c>
      <c r="C993">
        <v>32</v>
      </c>
      <c r="D993">
        <v>35.6</v>
      </c>
      <c r="E993">
        <f>MAX(ROUNDUP(D993, 0), C993)</f>
        <v>0</v>
      </c>
      <c r="F993" s="2">
        <v>7.55</v>
      </c>
      <c r="G993" s="2">
        <f>E993*F993</f>
        <v>0</v>
      </c>
      <c r="H993" s="2">
        <v>0</v>
      </c>
      <c r="I993" s="2">
        <f>ROUND(H993-G993, 2)</f>
        <v>0</v>
      </c>
      <c r="J993">
        <f>IF(ABS(I993)&gt;0.01, "Priority 3", "None")</f>
        <v>0</v>
      </c>
    </row>
    <row r="994" spans="1:10">
      <c r="A994" t="s">
        <v>2067</v>
      </c>
      <c r="B994" t="s">
        <v>1971</v>
      </c>
      <c r="C994">
        <v>32</v>
      </c>
      <c r="D994">
        <v>19.9</v>
      </c>
      <c r="E994">
        <f>MAX(ROUNDUP(D994, 0), C994)</f>
        <v>0</v>
      </c>
      <c r="F994" s="2">
        <v>7.55</v>
      </c>
      <c r="G994" s="2">
        <f>E994*F994</f>
        <v>0</v>
      </c>
      <c r="H994" s="2">
        <v>0</v>
      </c>
      <c r="I994" s="2">
        <f>ROUND(H994-G994, 2)</f>
        <v>0</v>
      </c>
      <c r="J994">
        <f>IF(ABS(I994)&gt;0.01, "Priority 3", "None")</f>
        <v>0</v>
      </c>
    </row>
    <row r="995" spans="1:10">
      <c r="A995" t="s">
        <v>2068</v>
      </c>
      <c r="B995" t="s">
        <v>1971</v>
      </c>
      <c r="C995">
        <v>36</v>
      </c>
      <c r="D995">
        <v>55.4</v>
      </c>
      <c r="E995">
        <f>MAX(ROUNDUP(D995, 0), C995)</f>
        <v>0</v>
      </c>
      <c r="F995" s="2">
        <v>7.55</v>
      </c>
      <c r="G995" s="2">
        <f>E995*F995</f>
        <v>0</v>
      </c>
      <c r="H995" s="2">
        <v>0</v>
      </c>
      <c r="I995" s="2">
        <f>ROUND(H995-G995, 2)</f>
        <v>0</v>
      </c>
      <c r="J995">
        <f>IF(ABS(I995)&gt;0.01, "Priority 3", "None")</f>
        <v>0</v>
      </c>
    </row>
    <row r="996" spans="1:10">
      <c r="A996" t="s">
        <v>2069</v>
      </c>
      <c r="B996" t="s">
        <v>1971</v>
      </c>
      <c r="C996">
        <v>45</v>
      </c>
      <c r="D996">
        <v>52.6</v>
      </c>
      <c r="E996">
        <f>MAX(ROUNDUP(D996, 0), C996)</f>
        <v>0</v>
      </c>
      <c r="F996" s="2">
        <v>7.55</v>
      </c>
      <c r="G996" s="2">
        <f>E996*F996</f>
        <v>0</v>
      </c>
      <c r="H996" s="2">
        <v>0</v>
      </c>
      <c r="I996" s="2">
        <f>ROUND(H996-G996, 2)</f>
        <v>0</v>
      </c>
      <c r="J996">
        <f>IF(ABS(I996)&gt;0.01, "Priority 3", "None")</f>
        <v>0</v>
      </c>
    </row>
    <row r="997" spans="1:10">
      <c r="A997" t="s">
        <v>2070</v>
      </c>
      <c r="B997" t="s">
        <v>1971</v>
      </c>
      <c r="C997">
        <v>45</v>
      </c>
      <c r="D997">
        <v>20.1</v>
      </c>
      <c r="E997">
        <f>MAX(ROUNDUP(D997, 0), C997)</f>
        <v>0</v>
      </c>
      <c r="F997" s="2">
        <v>7.55</v>
      </c>
      <c r="G997" s="2">
        <f>E997*F997</f>
        <v>0</v>
      </c>
      <c r="H997" s="2">
        <v>0</v>
      </c>
      <c r="I997" s="2">
        <f>ROUND(H997-G997, 2)</f>
        <v>0</v>
      </c>
      <c r="J997">
        <f>IF(ABS(I997)&gt;0.01, "Priority 3", "None")</f>
        <v>0</v>
      </c>
    </row>
    <row r="998" spans="1:10">
      <c r="A998" t="s">
        <v>2071</v>
      </c>
      <c r="B998" t="s">
        <v>1971</v>
      </c>
      <c r="C998">
        <v>40</v>
      </c>
      <c r="D998">
        <v>22.8</v>
      </c>
      <c r="E998">
        <f>MAX(ROUNDUP(D998, 0), C998)</f>
        <v>0</v>
      </c>
      <c r="F998" s="2">
        <v>7.55</v>
      </c>
      <c r="G998" s="2">
        <f>E998*F998</f>
        <v>0</v>
      </c>
      <c r="H998" s="2">
        <v>0</v>
      </c>
      <c r="I998" s="2">
        <f>ROUND(H998-G998, 2)</f>
        <v>0</v>
      </c>
      <c r="J998">
        <f>IF(ABS(I998)&gt;0.01, "Priority 3", "None")</f>
        <v>0</v>
      </c>
    </row>
    <row r="999" spans="1:10">
      <c r="A999" t="s">
        <v>2072</v>
      </c>
      <c r="B999" t="s">
        <v>1971</v>
      </c>
      <c r="C999">
        <v>60</v>
      </c>
      <c r="D999">
        <v>36.4</v>
      </c>
      <c r="E999">
        <f>MAX(ROUNDUP(D999, 0), C999)</f>
        <v>0</v>
      </c>
      <c r="F999" s="2">
        <v>7.55</v>
      </c>
      <c r="G999" s="2">
        <f>E999*F999</f>
        <v>0</v>
      </c>
      <c r="H999" s="2">
        <v>0</v>
      </c>
      <c r="I999" s="2">
        <f>ROUND(H999-G999, 2)</f>
        <v>0</v>
      </c>
      <c r="J999">
        <f>IF(ABS(I999)&gt;0.01, "Priority 3", "None")</f>
        <v>0</v>
      </c>
    </row>
    <row r="1000" spans="1:10">
      <c r="A1000" t="s">
        <v>2073</v>
      </c>
      <c r="B1000" t="s">
        <v>1971</v>
      </c>
      <c r="C1000">
        <v>45</v>
      </c>
      <c r="D1000">
        <v>24.9</v>
      </c>
      <c r="E1000">
        <f>MAX(ROUNDUP(D1000, 0), C1000)</f>
        <v>0</v>
      </c>
      <c r="F1000" s="2">
        <v>7.55</v>
      </c>
      <c r="G1000" s="2">
        <f>E1000*F1000</f>
        <v>0</v>
      </c>
      <c r="H1000" s="2">
        <v>0</v>
      </c>
      <c r="I1000" s="2">
        <f>ROUND(H1000-G1000, 2)</f>
        <v>0</v>
      </c>
      <c r="J1000">
        <f>IF(ABS(I1000)&gt;0.01, "Priority 3", "None")</f>
        <v>0</v>
      </c>
    </row>
    <row r="1001" spans="1:10">
      <c r="A1001" t="s">
        <v>2074</v>
      </c>
      <c r="B1001" t="s">
        <v>1971</v>
      </c>
      <c r="C1001">
        <v>45</v>
      </c>
      <c r="D1001">
        <v>25.7</v>
      </c>
      <c r="E1001">
        <f>MAX(ROUNDUP(D1001, 0), C1001)</f>
        <v>0</v>
      </c>
      <c r="F1001" s="2">
        <v>7.55</v>
      </c>
      <c r="G1001" s="2">
        <f>E1001*F1001</f>
        <v>0</v>
      </c>
      <c r="H1001" s="2">
        <v>0</v>
      </c>
      <c r="I1001" s="2">
        <f>ROUND(H1001-G1001, 2)</f>
        <v>0</v>
      </c>
      <c r="J1001">
        <f>IF(ABS(I1001)&gt;0.01, "Priority 3", "None")</f>
        <v>0</v>
      </c>
    </row>
    <row r="1002" spans="1:10">
      <c r="A1002" t="s">
        <v>2075</v>
      </c>
      <c r="B1002" t="s">
        <v>1971</v>
      </c>
      <c r="C1002">
        <v>28</v>
      </c>
      <c r="D1002">
        <v>54.6</v>
      </c>
      <c r="E1002">
        <f>MAX(ROUNDUP(D1002, 0), C1002)</f>
        <v>0</v>
      </c>
      <c r="F1002" s="2">
        <v>7.55</v>
      </c>
      <c r="G1002" s="2">
        <f>E1002*F1002</f>
        <v>0</v>
      </c>
      <c r="H1002" s="2">
        <v>0</v>
      </c>
      <c r="I1002" s="2">
        <f>ROUND(H1002-G1002, 2)</f>
        <v>0</v>
      </c>
      <c r="J1002">
        <f>IF(ABS(I1002)&gt;0.01, "Priority 3", "None")</f>
        <v>0</v>
      </c>
    </row>
    <row r="1003" spans="1:10">
      <c r="A1003" t="s">
        <v>2076</v>
      </c>
      <c r="B1003" t="s">
        <v>1971</v>
      </c>
      <c r="C1003">
        <v>40</v>
      </c>
      <c r="D1003">
        <v>31.6</v>
      </c>
      <c r="E1003">
        <f>MAX(ROUNDUP(D1003, 0), C1003)</f>
        <v>0</v>
      </c>
      <c r="F1003" s="2">
        <v>7.55</v>
      </c>
      <c r="G1003" s="2">
        <f>E1003*F1003</f>
        <v>0</v>
      </c>
      <c r="H1003" s="2">
        <v>0</v>
      </c>
      <c r="I1003" s="2">
        <f>ROUND(H1003-G1003, 2)</f>
        <v>0</v>
      </c>
      <c r="J1003">
        <f>IF(ABS(I1003)&gt;0.01, "Priority 3", "None")</f>
        <v>0</v>
      </c>
    </row>
    <row r="1004" spans="1:10">
      <c r="A1004" t="s">
        <v>2077</v>
      </c>
      <c r="B1004" t="s">
        <v>1971</v>
      </c>
      <c r="C1004">
        <v>32</v>
      </c>
      <c r="D1004">
        <v>47.2</v>
      </c>
      <c r="E1004">
        <f>MAX(ROUNDUP(D1004, 0), C1004)</f>
        <v>0</v>
      </c>
      <c r="F1004" s="2">
        <v>7.55</v>
      </c>
      <c r="G1004" s="2">
        <f>E1004*F1004</f>
        <v>0</v>
      </c>
      <c r="H1004" s="2">
        <v>0</v>
      </c>
      <c r="I1004" s="2">
        <f>ROUND(H1004-G1004, 2)</f>
        <v>0</v>
      </c>
      <c r="J1004">
        <f>IF(ABS(I1004)&gt;0.01, "Priority 3", "None")</f>
        <v>0</v>
      </c>
    </row>
    <row r="1005" spans="1:10">
      <c r="A1005" t="s">
        <v>2078</v>
      </c>
      <c r="B1005" t="s">
        <v>1971</v>
      </c>
      <c r="C1005">
        <v>24</v>
      </c>
      <c r="D1005">
        <v>40.4</v>
      </c>
      <c r="E1005">
        <f>MAX(ROUNDUP(D1005, 0), C1005)</f>
        <v>0</v>
      </c>
      <c r="F1005" s="2">
        <v>7.55</v>
      </c>
      <c r="G1005" s="2">
        <f>E1005*F1005</f>
        <v>0</v>
      </c>
      <c r="H1005" s="2">
        <v>0</v>
      </c>
      <c r="I1005" s="2">
        <f>ROUND(H1005-G1005, 2)</f>
        <v>0</v>
      </c>
      <c r="J1005">
        <f>IF(ABS(I1005)&gt;0.01, "Priority 3", "None")</f>
        <v>0</v>
      </c>
    </row>
    <row r="1006" spans="1:10">
      <c r="A1006" t="s">
        <v>2079</v>
      </c>
      <c r="B1006" t="s">
        <v>1971</v>
      </c>
      <c r="C1006">
        <v>24</v>
      </c>
      <c r="D1006">
        <v>34.5</v>
      </c>
      <c r="E1006">
        <f>MAX(ROUNDUP(D1006, 0), C1006)</f>
        <v>0</v>
      </c>
      <c r="F1006" s="2">
        <v>7.55</v>
      </c>
      <c r="G1006" s="2">
        <f>E1006*F1006</f>
        <v>0</v>
      </c>
      <c r="H1006" s="2">
        <v>0</v>
      </c>
      <c r="I1006" s="2">
        <f>ROUND(H1006-G1006, 2)</f>
        <v>0</v>
      </c>
      <c r="J1006">
        <f>IF(ABS(I1006)&gt;0.01, "Priority 3", "None")</f>
        <v>0</v>
      </c>
    </row>
    <row r="1007" spans="1:10">
      <c r="A1007" t="s">
        <v>2080</v>
      </c>
      <c r="B1007" t="s">
        <v>1971</v>
      </c>
      <c r="C1007">
        <v>40</v>
      </c>
      <c r="D1007">
        <v>52.7</v>
      </c>
      <c r="E1007">
        <f>MAX(ROUNDUP(D1007, 0), C1007)</f>
        <v>0</v>
      </c>
      <c r="F1007" s="2">
        <v>7.55</v>
      </c>
      <c r="G1007" s="2">
        <f>E1007*F1007</f>
        <v>0</v>
      </c>
      <c r="H1007" s="2">
        <v>0</v>
      </c>
      <c r="I1007" s="2">
        <f>ROUND(H1007-G1007, 2)</f>
        <v>0</v>
      </c>
      <c r="J1007">
        <f>IF(ABS(I1007)&gt;0.01, "Priority 3", "None")</f>
        <v>0</v>
      </c>
    </row>
    <row r="1008" spans="1:10">
      <c r="A1008" t="s">
        <v>2081</v>
      </c>
      <c r="B1008" t="s">
        <v>1971</v>
      </c>
      <c r="C1008">
        <v>32</v>
      </c>
      <c r="D1008">
        <v>33.2</v>
      </c>
      <c r="E1008">
        <f>MAX(ROUNDUP(D1008, 0), C1008)</f>
        <v>0</v>
      </c>
      <c r="F1008" s="2">
        <v>7.55</v>
      </c>
      <c r="G1008" s="2">
        <f>E1008*F1008</f>
        <v>0</v>
      </c>
      <c r="H1008" s="2">
        <v>0</v>
      </c>
      <c r="I1008" s="2">
        <f>ROUND(H1008-G1008, 2)</f>
        <v>0</v>
      </c>
      <c r="J1008">
        <f>IF(ABS(I1008)&gt;0.01, "Priority 3", "None")</f>
        <v>0</v>
      </c>
    </row>
    <row r="1009" spans="1:10">
      <c r="A1009" t="s">
        <v>2082</v>
      </c>
      <c r="B1009" t="s">
        <v>1971</v>
      </c>
      <c r="C1009">
        <v>80</v>
      </c>
      <c r="D1009">
        <v>21</v>
      </c>
      <c r="E1009">
        <f>MAX(ROUNDUP(D1009, 0), C1009)</f>
        <v>0</v>
      </c>
      <c r="F1009" s="2">
        <v>7.55</v>
      </c>
      <c r="G1009" s="2">
        <f>E1009*F1009</f>
        <v>0</v>
      </c>
      <c r="H1009" s="2">
        <v>0</v>
      </c>
      <c r="I1009" s="2">
        <f>ROUND(H1009-G1009, 2)</f>
        <v>0</v>
      </c>
      <c r="J1009">
        <f>IF(ABS(I1009)&gt;0.01, "Priority 3", "None")</f>
        <v>0</v>
      </c>
    </row>
    <row r="1010" spans="1:10">
      <c r="A1010" t="s">
        <v>2083</v>
      </c>
      <c r="B1010" t="s">
        <v>1971</v>
      </c>
      <c r="C1010">
        <v>24</v>
      </c>
      <c r="D1010">
        <v>41.9</v>
      </c>
      <c r="E1010">
        <f>MAX(ROUNDUP(D1010, 0), C1010)</f>
        <v>0</v>
      </c>
      <c r="F1010" s="2">
        <v>7.55</v>
      </c>
      <c r="G1010" s="2">
        <f>E1010*F1010</f>
        <v>0</v>
      </c>
      <c r="H1010" s="2">
        <v>0</v>
      </c>
      <c r="I1010" s="2">
        <f>ROUND(H1010-G1010, 2)</f>
        <v>0</v>
      </c>
      <c r="J1010">
        <f>IF(ABS(I1010)&gt;0.01, "Priority 3", "None")</f>
        <v>0</v>
      </c>
    </row>
    <row r="1011" spans="1:10">
      <c r="A1011" t="s">
        <v>2084</v>
      </c>
      <c r="B1011" t="s">
        <v>1971</v>
      </c>
      <c r="C1011">
        <v>80</v>
      </c>
      <c r="D1011">
        <v>47.1</v>
      </c>
      <c r="E1011">
        <f>MAX(ROUNDUP(D1011, 0), C1011)</f>
        <v>0</v>
      </c>
      <c r="F1011" s="2">
        <v>7.55</v>
      </c>
      <c r="G1011" s="2">
        <f>E1011*F1011</f>
        <v>0</v>
      </c>
      <c r="H1011" s="2">
        <v>0</v>
      </c>
      <c r="I1011" s="2">
        <f>ROUND(H1011-G1011, 2)</f>
        <v>0</v>
      </c>
      <c r="J1011">
        <f>IF(ABS(I1011)&gt;0.01, "Priority 3", "None")</f>
        <v>0</v>
      </c>
    </row>
    <row r="1012" spans="1:10">
      <c r="A1012" t="s">
        <v>2085</v>
      </c>
      <c r="B1012" t="s">
        <v>1971</v>
      </c>
      <c r="C1012">
        <v>40</v>
      </c>
      <c r="D1012">
        <v>30.9</v>
      </c>
      <c r="E1012">
        <f>MAX(ROUNDUP(D1012, 0), C1012)</f>
        <v>0</v>
      </c>
      <c r="F1012" s="2">
        <v>7.55</v>
      </c>
      <c r="G1012" s="2">
        <f>E1012*F1012</f>
        <v>0</v>
      </c>
      <c r="H1012" s="2">
        <v>0</v>
      </c>
      <c r="I1012" s="2">
        <f>ROUND(H1012-G1012, 2)</f>
        <v>0</v>
      </c>
      <c r="J1012">
        <f>IF(ABS(I1012)&gt;0.01, "Priority 3", "None")</f>
        <v>0</v>
      </c>
    </row>
    <row r="1013" spans="1:10">
      <c r="A1013" t="s">
        <v>2086</v>
      </c>
      <c r="B1013" t="s">
        <v>1971</v>
      </c>
      <c r="C1013">
        <v>36</v>
      </c>
      <c r="D1013">
        <v>37</v>
      </c>
      <c r="E1013">
        <f>MAX(ROUNDUP(D1013, 0), C1013)</f>
        <v>0</v>
      </c>
      <c r="F1013" s="2">
        <v>7.55</v>
      </c>
      <c r="G1013" s="2">
        <f>E1013*F1013</f>
        <v>0</v>
      </c>
      <c r="H1013" s="2">
        <v>0</v>
      </c>
      <c r="I1013" s="2">
        <f>ROUND(H1013-G1013, 2)</f>
        <v>0</v>
      </c>
      <c r="J1013">
        <f>IF(ABS(I1013)&gt;0.01, "Priority 3", "None")</f>
        <v>0</v>
      </c>
    </row>
    <row r="1014" spans="1:10">
      <c r="A1014" t="s">
        <v>2087</v>
      </c>
      <c r="B1014" t="s">
        <v>1971</v>
      </c>
      <c r="C1014">
        <v>60</v>
      </c>
      <c r="D1014">
        <v>31.7</v>
      </c>
      <c r="E1014">
        <f>MAX(ROUNDUP(D1014, 0), C1014)</f>
        <v>0</v>
      </c>
      <c r="F1014" s="2">
        <v>7.55</v>
      </c>
      <c r="G1014" s="2">
        <f>E1014*F1014</f>
        <v>0</v>
      </c>
      <c r="H1014" s="2">
        <v>0</v>
      </c>
      <c r="I1014" s="2">
        <f>ROUND(H1014-G1014, 2)</f>
        <v>0</v>
      </c>
      <c r="J1014">
        <f>IF(ABS(I1014)&gt;0.01, "Priority 3", "None")</f>
        <v>0</v>
      </c>
    </row>
    <row r="1015" spans="1:10">
      <c r="A1015" t="s">
        <v>2088</v>
      </c>
      <c r="B1015" t="s">
        <v>1971</v>
      </c>
      <c r="C1015">
        <v>36</v>
      </c>
      <c r="D1015">
        <v>24.7</v>
      </c>
      <c r="E1015">
        <f>MAX(ROUNDUP(D1015, 0), C1015)</f>
        <v>0</v>
      </c>
      <c r="F1015" s="2">
        <v>7.55</v>
      </c>
      <c r="G1015" s="2">
        <f>E1015*F1015</f>
        <v>0</v>
      </c>
      <c r="H1015" s="2">
        <v>0</v>
      </c>
      <c r="I1015" s="2">
        <f>ROUND(H1015-G1015, 2)</f>
        <v>0</v>
      </c>
      <c r="J1015">
        <f>IF(ABS(I1015)&gt;0.01, "Priority 3", "None")</f>
        <v>0</v>
      </c>
    </row>
    <row r="1016" spans="1:10">
      <c r="A1016" t="s">
        <v>2089</v>
      </c>
      <c r="B1016" t="s">
        <v>1971</v>
      </c>
      <c r="C1016">
        <v>24</v>
      </c>
      <c r="D1016">
        <v>45</v>
      </c>
      <c r="E1016">
        <f>MAX(ROUNDUP(D1016, 0), C1016)</f>
        <v>0</v>
      </c>
      <c r="F1016" s="2">
        <v>7.55</v>
      </c>
      <c r="G1016" s="2">
        <f>E1016*F1016</f>
        <v>0</v>
      </c>
      <c r="H1016" s="2">
        <v>0</v>
      </c>
      <c r="I1016" s="2">
        <f>ROUND(H1016-G1016, 2)</f>
        <v>0</v>
      </c>
      <c r="J1016">
        <f>IF(ABS(I1016)&gt;0.01, "Priority 3", "None")</f>
        <v>0</v>
      </c>
    </row>
    <row r="1017" spans="1:10">
      <c r="A1017" t="s">
        <v>2090</v>
      </c>
      <c r="B1017" t="s">
        <v>1971</v>
      </c>
      <c r="C1017">
        <v>28</v>
      </c>
      <c r="D1017">
        <v>53.6</v>
      </c>
      <c r="E1017">
        <f>MAX(ROUNDUP(D1017, 0), C1017)</f>
        <v>0</v>
      </c>
      <c r="F1017" s="2">
        <v>7.55</v>
      </c>
      <c r="G1017" s="2">
        <f>E1017*F1017</f>
        <v>0</v>
      </c>
      <c r="H1017" s="2">
        <v>0</v>
      </c>
      <c r="I1017" s="2">
        <f>ROUND(H1017-G1017, 2)</f>
        <v>0</v>
      </c>
      <c r="J1017">
        <f>IF(ABS(I1017)&gt;0.01, "Priority 3", "None")</f>
        <v>0</v>
      </c>
    </row>
    <row r="1018" spans="1:10">
      <c r="A1018" t="s">
        <v>2091</v>
      </c>
      <c r="B1018" t="s">
        <v>1971</v>
      </c>
      <c r="C1018">
        <v>80</v>
      </c>
      <c r="D1018">
        <v>49.5</v>
      </c>
      <c r="E1018">
        <f>MAX(ROUNDUP(D1018, 0), C1018)</f>
        <v>0</v>
      </c>
      <c r="F1018" s="2">
        <v>7.55</v>
      </c>
      <c r="G1018" s="2">
        <f>E1018*F1018</f>
        <v>0</v>
      </c>
      <c r="H1018" s="2">
        <v>0</v>
      </c>
      <c r="I1018" s="2">
        <f>ROUND(H1018-G1018, 2)</f>
        <v>0</v>
      </c>
      <c r="J1018">
        <f>IF(ABS(I1018)&gt;0.01, "Priority 3", "None")</f>
        <v>0</v>
      </c>
    </row>
    <row r="1019" spans="1:10">
      <c r="A1019" t="s">
        <v>2092</v>
      </c>
      <c r="B1019" t="s">
        <v>1971</v>
      </c>
      <c r="C1019">
        <v>45</v>
      </c>
      <c r="D1019">
        <v>27.7</v>
      </c>
      <c r="E1019">
        <f>MAX(ROUNDUP(D1019, 0), C1019)</f>
        <v>0</v>
      </c>
      <c r="F1019" s="2">
        <v>7.55</v>
      </c>
      <c r="G1019" s="2">
        <f>E1019*F1019</f>
        <v>0</v>
      </c>
      <c r="H1019" s="2">
        <v>0</v>
      </c>
      <c r="I1019" s="2">
        <f>ROUND(H1019-G1019, 2)</f>
        <v>0</v>
      </c>
      <c r="J1019">
        <f>IF(ABS(I1019)&gt;0.01, "Priority 3", "None")</f>
        <v>0</v>
      </c>
    </row>
    <row r="1020" spans="1:10">
      <c r="A1020" t="s">
        <v>2093</v>
      </c>
      <c r="B1020" t="s">
        <v>1971</v>
      </c>
      <c r="C1020">
        <v>24</v>
      </c>
      <c r="D1020">
        <v>41.8</v>
      </c>
      <c r="E1020">
        <f>MAX(ROUNDUP(D1020, 0), C1020)</f>
        <v>0</v>
      </c>
      <c r="F1020" s="2">
        <v>7.55</v>
      </c>
      <c r="G1020" s="2">
        <f>E1020*F1020</f>
        <v>0</v>
      </c>
      <c r="H1020" s="2">
        <v>0</v>
      </c>
      <c r="I1020" s="2">
        <f>ROUND(H1020-G1020, 2)</f>
        <v>0</v>
      </c>
      <c r="J1020">
        <f>IF(ABS(I1020)&gt;0.01, "Priority 3", "None")</f>
        <v>0</v>
      </c>
    </row>
    <row r="1021" spans="1:10">
      <c r="A1021" t="s">
        <v>2094</v>
      </c>
      <c r="B1021" t="s">
        <v>1971</v>
      </c>
      <c r="C1021">
        <v>36</v>
      </c>
      <c r="D1021">
        <v>26.3</v>
      </c>
      <c r="E1021">
        <f>MAX(ROUNDUP(D1021, 0), C1021)</f>
        <v>0</v>
      </c>
      <c r="F1021" s="2">
        <v>7.55</v>
      </c>
      <c r="G1021" s="2">
        <f>E1021*F1021</f>
        <v>0</v>
      </c>
      <c r="H1021" s="2">
        <v>0</v>
      </c>
      <c r="I1021" s="2">
        <f>ROUND(H1021-G1021, 2)</f>
        <v>0</v>
      </c>
      <c r="J1021">
        <f>IF(ABS(I1021)&gt;0.01, "Priority 3", "None")</f>
        <v>0</v>
      </c>
    </row>
    <row r="1022" spans="1:10">
      <c r="A1022" t="s">
        <v>2095</v>
      </c>
      <c r="B1022" t="s">
        <v>1971</v>
      </c>
      <c r="C1022">
        <v>24</v>
      </c>
      <c r="D1022">
        <v>26.3</v>
      </c>
      <c r="E1022">
        <f>MAX(ROUNDUP(D1022, 0), C1022)</f>
        <v>0</v>
      </c>
      <c r="F1022" s="2">
        <v>7.55</v>
      </c>
      <c r="G1022" s="2">
        <f>E1022*F1022</f>
        <v>0</v>
      </c>
      <c r="H1022" s="2">
        <v>0</v>
      </c>
      <c r="I1022" s="2">
        <f>ROUND(H1022-G1022, 2)</f>
        <v>0</v>
      </c>
      <c r="J1022">
        <f>IF(ABS(I1022)&gt;0.01, "Priority 3", "None")</f>
        <v>0</v>
      </c>
    </row>
    <row r="1023" spans="1:10">
      <c r="A1023" t="s">
        <v>2096</v>
      </c>
      <c r="B1023" t="s">
        <v>1971</v>
      </c>
      <c r="C1023">
        <v>60</v>
      </c>
      <c r="D1023">
        <v>61.4</v>
      </c>
      <c r="E1023">
        <f>MAX(ROUNDUP(D1023, 0), C1023)</f>
        <v>0</v>
      </c>
      <c r="F1023" s="2">
        <v>7.55</v>
      </c>
      <c r="G1023" s="2">
        <f>E1023*F1023</f>
        <v>0</v>
      </c>
      <c r="H1023" s="2">
        <v>0</v>
      </c>
      <c r="I1023" s="2">
        <f>ROUND(H1023-G1023, 2)</f>
        <v>0</v>
      </c>
      <c r="J1023">
        <f>IF(ABS(I1023)&gt;0.01, "Priority 3", "None")</f>
        <v>0</v>
      </c>
    </row>
    <row r="1024" spans="1:10">
      <c r="A1024" t="s">
        <v>2097</v>
      </c>
      <c r="B1024" t="s">
        <v>1971</v>
      </c>
      <c r="C1024">
        <v>32</v>
      </c>
      <c r="D1024">
        <v>25.8</v>
      </c>
      <c r="E1024">
        <f>MAX(ROUNDUP(D1024, 0), C1024)</f>
        <v>0</v>
      </c>
      <c r="F1024" s="2">
        <v>7.55</v>
      </c>
      <c r="G1024" s="2">
        <f>E1024*F1024</f>
        <v>0</v>
      </c>
      <c r="H1024" s="2">
        <v>0</v>
      </c>
      <c r="I1024" s="2">
        <f>ROUND(H1024-G1024, 2)</f>
        <v>0</v>
      </c>
      <c r="J1024">
        <f>IF(ABS(I1024)&gt;0.01, "Priority 3", "None")</f>
        <v>0</v>
      </c>
    </row>
    <row r="1025" spans="1:10">
      <c r="A1025" t="s">
        <v>2098</v>
      </c>
      <c r="B1025" t="s">
        <v>1971</v>
      </c>
      <c r="C1025">
        <v>32</v>
      </c>
      <c r="D1025">
        <v>34.1</v>
      </c>
      <c r="E1025">
        <f>MAX(ROUNDUP(D1025, 0), C1025)</f>
        <v>0</v>
      </c>
      <c r="F1025" s="2">
        <v>7.55</v>
      </c>
      <c r="G1025" s="2">
        <f>E1025*F1025</f>
        <v>0</v>
      </c>
      <c r="H1025" s="2">
        <v>0</v>
      </c>
      <c r="I1025" s="2">
        <f>ROUND(H1025-G1025, 2)</f>
        <v>0</v>
      </c>
      <c r="J1025">
        <f>IF(ABS(I1025)&gt;0.01, "Priority 3", "None")</f>
        <v>0</v>
      </c>
    </row>
    <row r="1026" spans="1:10">
      <c r="A1026" t="s">
        <v>2099</v>
      </c>
      <c r="B1026" t="s">
        <v>1971</v>
      </c>
      <c r="C1026">
        <v>28</v>
      </c>
      <c r="D1026">
        <v>41.8</v>
      </c>
      <c r="E1026">
        <f>MAX(ROUNDUP(D1026, 0), C1026)</f>
        <v>0</v>
      </c>
      <c r="F1026" s="2">
        <v>7.55</v>
      </c>
      <c r="G1026" s="2">
        <f>E1026*F1026</f>
        <v>0</v>
      </c>
      <c r="H1026" s="2">
        <v>0</v>
      </c>
      <c r="I1026" s="2">
        <f>ROUND(H1026-G1026, 2)</f>
        <v>0</v>
      </c>
      <c r="J1026">
        <f>IF(ABS(I1026)&gt;0.01, "Priority 3", "None")</f>
        <v>0</v>
      </c>
    </row>
    <row r="1027" spans="1:10">
      <c r="A1027" t="s">
        <v>2100</v>
      </c>
      <c r="B1027" t="s">
        <v>1971</v>
      </c>
      <c r="C1027">
        <v>24</v>
      </c>
      <c r="D1027">
        <v>32.4</v>
      </c>
      <c r="E1027">
        <f>MAX(ROUNDUP(D1027, 0), C1027)</f>
        <v>0</v>
      </c>
      <c r="F1027" s="2">
        <v>7.55</v>
      </c>
      <c r="G1027" s="2">
        <f>E1027*F1027</f>
        <v>0</v>
      </c>
      <c r="H1027" s="2">
        <v>0</v>
      </c>
      <c r="I1027" s="2">
        <f>ROUND(H1027-G1027, 2)</f>
        <v>0</v>
      </c>
      <c r="J1027">
        <f>IF(ABS(I1027)&gt;0.01, "Priority 3", "None")</f>
        <v>0</v>
      </c>
    </row>
    <row r="1028" spans="1:10">
      <c r="A1028" t="s">
        <v>2101</v>
      </c>
      <c r="B1028" t="s">
        <v>1971</v>
      </c>
      <c r="C1028">
        <v>28</v>
      </c>
      <c r="D1028">
        <v>37.3</v>
      </c>
      <c r="E1028">
        <f>MAX(ROUNDUP(D1028, 0), C1028)</f>
        <v>0</v>
      </c>
      <c r="F1028" s="2">
        <v>7.55</v>
      </c>
      <c r="G1028" s="2">
        <f>E1028*F1028</f>
        <v>0</v>
      </c>
      <c r="H1028" s="2">
        <v>0</v>
      </c>
      <c r="I1028" s="2">
        <f>ROUND(H1028-G1028, 2)</f>
        <v>0</v>
      </c>
      <c r="J1028">
        <f>IF(ABS(I1028)&gt;0.01, "Priority 3", "None")</f>
        <v>0</v>
      </c>
    </row>
    <row r="1029" spans="1:10">
      <c r="A1029" t="s">
        <v>2102</v>
      </c>
      <c r="B1029" t="s">
        <v>1971</v>
      </c>
      <c r="C1029">
        <v>50</v>
      </c>
      <c r="D1029">
        <v>19.2</v>
      </c>
      <c r="E1029">
        <f>MAX(ROUNDUP(D1029, 0), C1029)</f>
        <v>0</v>
      </c>
      <c r="F1029" s="2">
        <v>7.55</v>
      </c>
      <c r="G1029" s="2">
        <f>E1029*F1029</f>
        <v>0</v>
      </c>
      <c r="H1029" s="2">
        <v>0</v>
      </c>
      <c r="I1029" s="2">
        <f>ROUND(H1029-G1029, 2)</f>
        <v>0</v>
      </c>
      <c r="J1029">
        <f>IF(ABS(I1029)&gt;0.01, "Priority 3", "None")</f>
        <v>0</v>
      </c>
    </row>
    <row r="1030" spans="1:10">
      <c r="A1030" t="s">
        <v>2103</v>
      </c>
      <c r="B1030" t="s">
        <v>1971</v>
      </c>
      <c r="C1030">
        <v>32</v>
      </c>
      <c r="D1030">
        <v>23.6</v>
      </c>
      <c r="E1030">
        <f>MAX(ROUNDUP(D1030, 0), C1030)</f>
        <v>0</v>
      </c>
      <c r="F1030" s="2">
        <v>7.55</v>
      </c>
      <c r="G1030" s="2">
        <f>E1030*F1030</f>
        <v>0</v>
      </c>
      <c r="H1030" s="2">
        <v>0</v>
      </c>
      <c r="I1030" s="2">
        <f>ROUND(H1030-G1030, 2)</f>
        <v>0</v>
      </c>
      <c r="J1030">
        <f>IF(ABS(I1030)&gt;0.01, "Priority 3", "None")</f>
        <v>0</v>
      </c>
    </row>
    <row r="1031" spans="1:10">
      <c r="A1031" t="s">
        <v>2104</v>
      </c>
      <c r="B1031" t="s">
        <v>1971</v>
      </c>
      <c r="C1031">
        <v>70</v>
      </c>
      <c r="D1031">
        <v>25.3</v>
      </c>
      <c r="E1031">
        <f>MAX(ROUNDUP(D1031, 0), C1031)</f>
        <v>0</v>
      </c>
      <c r="F1031" s="2">
        <v>7.55</v>
      </c>
      <c r="G1031" s="2">
        <f>E1031*F1031</f>
        <v>0</v>
      </c>
      <c r="H1031" s="2">
        <v>0</v>
      </c>
      <c r="I1031" s="2">
        <f>ROUND(H1031-G1031, 2)</f>
        <v>0</v>
      </c>
      <c r="J1031">
        <f>IF(ABS(I1031)&gt;0.01, "Priority 3", "None")</f>
        <v>0</v>
      </c>
    </row>
    <row r="1032" spans="1:10">
      <c r="A1032" t="s">
        <v>2105</v>
      </c>
      <c r="B1032" t="s">
        <v>1971</v>
      </c>
      <c r="C1032">
        <v>28</v>
      </c>
      <c r="D1032">
        <v>48.9</v>
      </c>
      <c r="E1032">
        <f>MAX(ROUNDUP(D1032, 0), C1032)</f>
        <v>0</v>
      </c>
      <c r="F1032" s="2">
        <v>7.55</v>
      </c>
      <c r="G1032" s="2">
        <f>E1032*F1032</f>
        <v>0</v>
      </c>
      <c r="H1032" s="2">
        <v>0</v>
      </c>
      <c r="I1032" s="2">
        <f>ROUND(H1032-G1032, 2)</f>
        <v>0</v>
      </c>
      <c r="J1032">
        <f>IF(ABS(I1032)&gt;0.01, "Priority 3", "None")</f>
        <v>0</v>
      </c>
    </row>
    <row r="1033" spans="1:10">
      <c r="A1033" t="s">
        <v>2106</v>
      </c>
      <c r="B1033" t="s">
        <v>1971</v>
      </c>
      <c r="C1033">
        <v>28</v>
      </c>
      <c r="D1033">
        <v>44.5</v>
      </c>
      <c r="E1033">
        <f>MAX(ROUNDUP(D1033, 0), C1033)</f>
        <v>0</v>
      </c>
      <c r="F1033" s="2">
        <v>7.55</v>
      </c>
      <c r="G1033" s="2">
        <f>E1033*F1033</f>
        <v>0</v>
      </c>
      <c r="H1033" s="2">
        <v>0</v>
      </c>
      <c r="I1033" s="2">
        <f>ROUND(H1033-G1033, 2)</f>
        <v>0</v>
      </c>
      <c r="J1033">
        <f>IF(ABS(I1033)&gt;0.01, "Priority 3", "None")</f>
        <v>0</v>
      </c>
    </row>
    <row r="1034" spans="1:10">
      <c r="A1034" t="s">
        <v>2107</v>
      </c>
      <c r="B1034" t="s">
        <v>1971</v>
      </c>
      <c r="C1034">
        <v>45</v>
      </c>
      <c r="D1034">
        <v>38.7</v>
      </c>
      <c r="E1034">
        <f>MAX(ROUNDUP(D1034, 0), C1034)</f>
        <v>0</v>
      </c>
      <c r="F1034" s="2">
        <v>7.55</v>
      </c>
      <c r="G1034" s="2">
        <f>E1034*F1034</f>
        <v>0</v>
      </c>
      <c r="H1034" s="2">
        <v>0</v>
      </c>
      <c r="I1034" s="2">
        <f>ROUND(H1034-G1034, 2)</f>
        <v>0</v>
      </c>
      <c r="J1034">
        <f>IF(ABS(I1034)&gt;0.01, "Priority 3", "None")</f>
        <v>0</v>
      </c>
    </row>
    <row r="1035" spans="1:10">
      <c r="A1035" t="s">
        <v>2108</v>
      </c>
      <c r="B1035" t="s">
        <v>1971</v>
      </c>
      <c r="C1035">
        <v>24</v>
      </c>
      <c r="D1035">
        <v>25.7</v>
      </c>
      <c r="E1035">
        <f>MAX(ROUNDUP(D1035, 0), C1035)</f>
        <v>0</v>
      </c>
      <c r="F1035" s="2">
        <v>7.55</v>
      </c>
      <c r="G1035" s="2">
        <f>E1035*F1035</f>
        <v>0</v>
      </c>
      <c r="H1035" s="2">
        <v>0</v>
      </c>
      <c r="I1035" s="2">
        <f>ROUND(H1035-G1035, 2)</f>
        <v>0</v>
      </c>
      <c r="J1035">
        <f>IF(ABS(I1035)&gt;0.01, "Priority 3", "None")</f>
        <v>0</v>
      </c>
    </row>
    <row r="1036" spans="1:10">
      <c r="A1036" t="s">
        <v>2109</v>
      </c>
      <c r="B1036" t="s">
        <v>1971</v>
      </c>
      <c r="C1036">
        <v>28</v>
      </c>
      <c r="D1036">
        <v>27.1</v>
      </c>
      <c r="E1036">
        <f>MAX(ROUNDUP(D1036, 0), C1036)</f>
        <v>0</v>
      </c>
      <c r="F1036" s="2">
        <v>7.55</v>
      </c>
      <c r="G1036" s="2">
        <f>E1036*F1036</f>
        <v>0</v>
      </c>
      <c r="H1036" s="2">
        <v>0</v>
      </c>
      <c r="I1036" s="2">
        <f>ROUND(H1036-G1036, 2)</f>
        <v>0</v>
      </c>
      <c r="J1036">
        <f>IF(ABS(I1036)&gt;0.01, "Priority 3", "None")</f>
        <v>0</v>
      </c>
    </row>
    <row r="1037" spans="1:10">
      <c r="A1037" t="s">
        <v>2110</v>
      </c>
      <c r="B1037" t="s">
        <v>1971</v>
      </c>
      <c r="C1037">
        <v>50</v>
      </c>
      <c r="D1037">
        <v>36.7</v>
      </c>
      <c r="E1037">
        <f>MAX(ROUNDUP(D1037, 0), C1037)</f>
        <v>0</v>
      </c>
      <c r="F1037" s="2">
        <v>7.55</v>
      </c>
      <c r="G1037" s="2">
        <f>E1037*F1037</f>
        <v>0</v>
      </c>
      <c r="H1037" s="2">
        <v>0</v>
      </c>
      <c r="I1037" s="2">
        <f>ROUND(H1037-G1037, 2)</f>
        <v>0</v>
      </c>
      <c r="J1037">
        <f>IF(ABS(I1037)&gt;0.01, "Priority 3", "None")</f>
        <v>0</v>
      </c>
    </row>
    <row r="1038" spans="1:10">
      <c r="A1038" t="s">
        <v>2111</v>
      </c>
      <c r="B1038" t="s">
        <v>1971</v>
      </c>
      <c r="C1038">
        <v>24</v>
      </c>
      <c r="D1038">
        <v>49.2</v>
      </c>
      <c r="E1038">
        <f>MAX(ROUNDUP(D1038, 0), C1038)</f>
        <v>0</v>
      </c>
      <c r="F1038" s="2">
        <v>7.55</v>
      </c>
      <c r="G1038" s="2">
        <f>E1038*F1038</f>
        <v>0</v>
      </c>
      <c r="H1038" s="2">
        <v>0</v>
      </c>
      <c r="I1038" s="2">
        <f>ROUND(H1038-G1038, 2)</f>
        <v>0</v>
      </c>
      <c r="J1038">
        <f>IF(ABS(I1038)&gt;0.01, "Priority 3", "None")</f>
        <v>0</v>
      </c>
    </row>
    <row r="1039" spans="1:10">
      <c r="A1039" t="s">
        <v>2112</v>
      </c>
      <c r="B1039" t="s">
        <v>1971</v>
      </c>
      <c r="C1039">
        <v>70</v>
      </c>
      <c r="D1039">
        <v>20.5</v>
      </c>
      <c r="E1039">
        <f>MAX(ROUNDUP(D1039, 0), C1039)</f>
        <v>0</v>
      </c>
      <c r="F1039" s="2">
        <v>7.55</v>
      </c>
      <c r="G1039" s="2">
        <f>E1039*F1039</f>
        <v>0</v>
      </c>
      <c r="H1039" s="2">
        <v>0</v>
      </c>
      <c r="I1039" s="2">
        <f>ROUND(H1039-G1039, 2)</f>
        <v>0</v>
      </c>
      <c r="J1039">
        <f>IF(ABS(I1039)&gt;0.01, "Priority 3", "None")</f>
        <v>0</v>
      </c>
    </row>
    <row r="1040" spans="1:10">
      <c r="A1040" t="s">
        <v>2113</v>
      </c>
      <c r="B1040" t="s">
        <v>1971</v>
      </c>
      <c r="C1040">
        <v>60</v>
      </c>
      <c r="D1040">
        <v>42</v>
      </c>
      <c r="E1040">
        <f>MAX(ROUNDUP(D1040, 0), C1040)</f>
        <v>0</v>
      </c>
      <c r="F1040" s="2">
        <v>7.55</v>
      </c>
      <c r="G1040" s="2">
        <f>E1040*F1040</f>
        <v>0</v>
      </c>
      <c r="H1040" s="2">
        <v>0</v>
      </c>
      <c r="I1040" s="2">
        <f>ROUND(H1040-G1040, 2)</f>
        <v>0</v>
      </c>
      <c r="J1040">
        <f>IF(ABS(I1040)&gt;0.01, "Priority 3", "None")</f>
        <v>0</v>
      </c>
    </row>
    <row r="1041" spans="1:10">
      <c r="A1041" t="s">
        <v>2114</v>
      </c>
      <c r="B1041" t="s">
        <v>1971</v>
      </c>
      <c r="C1041">
        <v>70</v>
      </c>
      <c r="D1041">
        <v>24.4</v>
      </c>
      <c r="E1041">
        <f>MAX(ROUNDUP(D1041, 0), C1041)</f>
        <v>0</v>
      </c>
      <c r="F1041" s="2">
        <v>7.55</v>
      </c>
      <c r="G1041" s="2">
        <f>E1041*F1041</f>
        <v>0</v>
      </c>
      <c r="H1041" s="2">
        <v>0</v>
      </c>
      <c r="I1041" s="2">
        <f>ROUND(H1041-G1041, 2)</f>
        <v>0</v>
      </c>
      <c r="J1041">
        <f>IF(ABS(I1041)&gt;0.01, "Priority 3", "None")</f>
        <v>0</v>
      </c>
    </row>
    <row r="1042" spans="1:10">
      <c r="A1042" t="s">
        <v>2115</v>
      </c>
      <c r="B1042" t="s">
        <v>1971</v>
      </c>
      <c r="C1042">
        <v>28</v>
      </c>
      <c r="D1042">
        <v>56.7</v>
      </c>
      <c r="E1042">
        <f>MAX(ROUNDUP(D1042, 0), C1042)</f>
        <v>0</v>
      </c>
      <c r="F1042" s="2">
        <v>7.55</v>
      </c>
      <c r="G1042" s="2">
        <f>E1042*F1042</f>
        <v>0</v>
      </c>
      <c r="H1042" s="2">
        <v>0</v>
      </c>
      <c r="I1042" s="2">
        <f>ROUND(H1042-G1042, 2)</f>
        <v>0</v>
      </c>
      <c r="J1042">
        <f>IF(ABS(I1042)&gt;0.01, "Priority 3", "None")</f>
        <v>0</v>
      </c>
    </row>
    <row r="1043" spans="1:10">
      <c r="A1043" t="s">
        <v>2116</v>
      </c>
      <c r="B1043" t="s">
        <v>1971</v>
      </c>
      <c r="C1043">
        <v>24</v>
      </c>
      <c r="D1043">
        <v>61.6</v>
      </c>
      <c r="E1043">
        <f>MAX(ROUNDUP(D1043, 0), C1043)</f>
        <v>0</v>
      </c>
      <c r="F1043" s="2">
        <v>7.55</v>
      </c>
      <c r="G1043" s="2">
        <f>E1043*F1043</f>
        <v>0</v>
      </c>
      <c r="H1043" s="2">
        <v>0</v>
      </c>
      <c r="I1043" s="2">
        <f>ROUND(H1043-G1043, 2)</f>
        <v>0</v>
      </c>
      <c r="J1043">
        <f>IF(ABS(I1043)&gt;0.01, "Priority 3", "None")</f>
        <v>0</v>
      </c>
    </row>
    <row r="1044" spans="1:10">
      <c r="A1044" t="s">
        <v>2117</v>
      </c>
      <c r="B1044" t="s">
        <v>1971</v>
      </c>
      <c r="C1044">
        <v>60</v>
      </c>
      <c r="D1044">
        <v>54.8</v>
      </c>
      <c r="E1044">
        <f>MAX(ROUNDUP(D1044, 0), C1044)</f>
        <v>0</v>
      </c>
      <c r="F1044" s="2">
        <v>7.55</v>
      </c>
      <c r="G1044" s="2">
        <f>E1044*F1044</f>
        <v>0</v>
      </c>
      <c r="H1044" s="2">
        <v>0</v>
      </c>
      <c r="I1044" s="2">
        <f>ROUND(H1044-G1044, 2)</f>
        <v>0</v>
      </c>
      <c r="J1044">
        <f>IF(ABS(I1044)&gt;0.01, "Priority 3", "None")</f>
        <v>0</v>
      </c>
    </row>
    <row r="1045" spans="1:10">
      <c r="A1045" t="s">
        <v>2118</v>
      </c>
      <c r="B1045" t="s">
        <v>1971</v>
      </c>
      <c r="C1045">
        <v>80</v>
      </c>
      <c r="D1045">
        <v>20.2</v>
      </c>
      <c r="E1045">
        <f>MAX(ROUNDUP(D1045, 0), C1045)</f>
        <v>0</v>
      </c>
      <c r="F1045" s="2">
        <v>7.55</v>
      </c>
      <c r="G1045" s="2">
        <f>E1045*F1045</f>
        <v>0</v>
      </c>
      <c r="H1045" s="2">
        <v>0</v>
      </c>
      <c r="I1045" s="2">
        <f>ROUND(H1045-G1045, 2)</f>
        <v>0</v>
      </c>
      <c r="J1045">
        <f>IF(ABS(I1045)&gt;0.01, "Priority 3", "None")</f>
        <v>0</v>
      </c>
    </row>
    <row r="1046" spans="1:10">
      <c r="A1046" t="s">
        <v>2119</v>
      </c>
      <c r="B1046" t="s">
        <v>1971</v>
      </c>
      <c r="C1046">
        <v>28</v>
      </c>
      <c r="D1046">
        <v>59</v>
      </c>
      <c r="E1046">
        <f>MAX(ROUNDUP(D1046, 0), C1046)</f>
        <v>0</v>
      </c>
      <c r="F1046" s="2">
        <v>7.55</v>
      </c>
      <c r="G1046" s="2">
        <f>E1046*F1046</f>
        <v>0</v>
      </c>
      <c r="H1046" s="2">
        <v>0</v>
      </c>
      <c r="I1046" s="2">
        <f>ROUND(H1046-G1046, 2)</f>
        <v>0</v>
      </c>
      <c r="J1046">
        <f>IF(ABS(I1046)&gt;0.01, "Priority 3", "None")</f>
        <v>0</v>
      </c>
    </row>
    <row r="1047" spans="1:10">
      <c r="A1047" t="s">
        <v>2120</v>
      </c>
      <c r="B1047" t="s">
        <v>1971</v>
      </c>
      <c r="C1047">
        <v>28</v>
      </c>
      <c r="D1047">
        <v>31.5</v>
      </c>
      <c r="E1047">
        <f>MAX(ROUNDUP(D1047, 0), C1047)</f>
        <v>0</v>
      </c>
      <c r="F1047" s="2">
        <v>7.55</v>
      </c>
      <c r="G1047" s="2">
        <f>E1047*F1047</f>
        <v>0</v>
      </c>
      <c r="H1047" s="2">
        <v>0</v>
      </c>
      <c r="I1047" s="2">
        <f>ROUND(H1047-G1047, 2)</f>
        <v>0</v>
      </c>
      <c r="J1047">
        <f>IF(ABS(I1047)&gt;0.01, "Priority 3", "None")</f>
        <v>0</v>
      </c>
    </row>
    <row r="1048" spans="1:10">
      <c r="A1048" t="s">
        <v>2121</v>
      </c>
      <c r="B1048" t="s">
        <v>1971</v>
      </c>
      <c r="C1048">
        <v>28</v>
      </c>
      <c r="D1048">
        <v>29.7</v>
      </c>
      <c r="E1048">
        <f>MAX(ROUNDUP(D1048, 0), C1048)</f>
        <v>0</v>
      </c>
      <c r="F1048" s="2">
        <v>7.55</v>
      </c>
      <c r="G1048" s="2">
        <f>E1048*F1048</f>
        <v>0</v>
      </c>
      <c r="H1048" s="2">
        <v>0</v>
      </c>
      <c r="I1048" s="2">
        <f>ROUND(H1048-G1048, 2)</f>
        <v>0</v>
      </c>
      <c r="J1048">
        <f>IF(ABS(I1048)&gt;0.01, "Priority 3", "None")</f>
        <v>0</v>
      </c>
    </row>
    <row r="1049" spans="1:10">
      <c r="A1049" t="s">
        <v>2122</v>
      </c>
      <c r="B1049" t="s">
        <v>1971</v>
      </c>
      <c r="C1049">
        <v>24</v>
      </c>
      <c r="D1049">
        <v>54</v>
      </c>
      <c r="E1049">
        <f>MAX(ROUNDUP(D1049, 0), C1049)</f>
        <v>0</v>
      </c>
      <c r="F1049" s="2">
        <v>7.55</v>
      </c>
      <c r="G1049" s="2">
        <f>E1049*F1049</f>
        <v>0</v>
      </c>
      <c r="H1049" s="2">
        <v>0</v>
      </c>
      <c r="I1049" s="2">
        <f>ROUND(H1049-G1049, 2)</f>
        <v>0</v>
      </c>
      <c r="J1049">
        <f>IF(ABS(I1049)&gt;0.01, "Priority 3", "None")</f>
        <v>0</v>
      </c>
    </row>
    <row r="1050" spans="1:10">
      <c r="A1050" t="s">
        <v>2123</v>
      </c>
      <c r="B1050" t="s">
        <v>1971</v>
      </c>
      <c r="C1050">
        <v>24</v>
      </c>
      <c r="D1050">
        <v>40.1</v>
      </c>
      <c r="E1050">
        <f>MAX(ROUNDUP(D1050, 0), C1050)</f>
        <v>0</v>
      </c>
      <c r="F1050" s="2">
        <v>7.55</v>
      </c>
      <c r="G1050" s="2">
        <f>E1050*F1050</f>
        <v>0</v>
      </c>
      <c r="H1050" s="2">
        <v>0</v>
      </c>
      <c r="I1050" s="2">
        <f>ROUND(H1050-G1050, 2)</f>
        <v>0</v>
      </c>
      <c r="J1050">
        <f>IF(ABS(I1050)&gt;0.01, "Priority 3", "None")</f>
        <v>0</v>
      </c>
    </row>
    <row r="1051" spans="1:10">
      <c r="A1051" t="s">
        <v>2124</v>
      </c>
      <c r="B1051" t="s">
        <v>1971</v>
      </c>
      <c r="C1051">
        <v>40</v>
      </c>
      <c r="D1051">
        <v>58.8</v>
      </c>
      <c r="E1051">
        <f>MAX(ROUNDUP(D1051, 0), C1051)</f>
        <v>0</v>
      </c>
      <c r="F1051" s="2">
        <v>7.55</v>
      </c>
      <c r="G1051" s="2">
        <f>E1051*F1051</f>
        <v>0</v>
      </c>
      <c r="H1051" s="2">
        <v>0</v>
      </c>
      <c r="I1051" s="2">
        <f>ROUND(H1051-G1051, 2)</f>
        <v>0</v>
      </c>
      <c r="J1051">
        <f>IF(ABS(I1051)&gt;0.01, "Priority 3", "None")</f>
        <v>0</v>
      </c>
    </row>
    <row r="1052" spans="1:10">
      <c r="A1052" t="s">
        <v>2125</v>
      </c>
      <c r="B1052" t="s">
        <v>1971</v>
      </c>
      <c r="C1052">
        <v>32</v>
      </c>
      <c r="D1052">
        <v>44.8</v>
      </c>
      <c r="E1052">
        <f>MAX(ROUNDUP(D1052, 0), C1052)</f>
        <v>0</v>
      </c>
      <c r="F1052" s="2">
        <v>7.55</v>
      </c>
      <c r="G1052" s="2">
        <f>E1052*F1052</f>
        <v>0</v>
      </c>
      <c r="H1052" s="2">
        <v>0</v>
      </c>
      <c r="I1052" s="2">
        <f>ROUND(H1052-G1052, 2)</f>
        <v>0</v>
      </c>
      <c r="J1052">
        <f>IF(ABS(I1052)&gt;0.01, "Priority 3", "None")</f>
        <v>0</v>
      </c>
    </row>
    <row r="1053" spans="1:10">
      <c r="A1053" t="s">
        <v>2126</v>
      </c>
      <c r="B1053" t="s">
        <v>1971</v>
      </c>
      <c r="C1053">
        <v>45</v>
      </c>
      <c r="D1053">
        <v>34.3</v>
      </c>
      <c r="E1053">
        <f>MAX(ROUNDUP(D1053, 0), C1053)</f>
        <v>0</v>
      </c>
      <c r="F1053" s="2">
        <v>7.55</v>
      </c>
      <c r="G1053" s="2">
        <f>E1053*F1053</f>
        <v>0</v>
      </c>
      <c r="H1053" s="2">
        <v>0</v>
      </c>
      <c r="I1053" s="2">
        <f>ROUND(H1053-G1053, 2)</f>
        <v>0</v>
      </c>
      <c r="J1053">
        <f>IF(ABS(I1053)&gt;0.01, "Priority 3", "None")</f>
        <v>0</v>
      </c>
    </row>
    <row r="1054" spans="1:10">
      <c r="A1054" t="s">
        <v>2127</v>
      </c>
      <c r="B1054" t="s">
        <v>1971</v>
      </c>
      <c r="C1054">
        <v>32</v>
      </c>
      <c r="D1054">
        <v>57</v>
      </c>
      <c r="E1054">
        <f>MAX(ROUNDUP(D1054, 0), C1054)</f>
        <v>0</v>
      </c>
      <c r="F1054" s="2">
        <v>7.55</v>
      </c>
      <c r="G1054" s="2">
        <f>E1054*F1054</f>
        <v>0</v>
      </c>
      <c r="H1054" s="2">
        <v>0</v>
      </c>
      <c r="I1054" s="2">
        <f>ROUND(H1054-G1054, 2)</f>
        <v>0</v>
      </c>
      <c r="J1054">
        <f>IF(ABS(I1054)&gt;0.01, "Priority 3", "None")</f>
        <v>0</v>
      </c>
    </row>
    <row r="1055" spans="1:10">
      <c r="A1055" t="s">
        <v>2128</v>
      </c>
      <c r="B1055" t="s">
        <v>1971</v>
      </c>
      <c r="C1055">
        <v>24</v>
      </c>
      <c r="D1055">
        <v>44.8</v>
      </c>
      <c r="E1055">
        <f>MAX(ROUNDUP(D1055, 0), C1055)</f>
        <v>0</v>
      </c>
      <c r="F1055" s="2">
        <v>7.55</v>
      </c>
      <c r="G1055" s="2">
        <f>E1055*F1055</f>
        <v>0</v>
      </c>
      <c r="H1055" s="2">
        <v>0</v>
      </c>
      <c r="I1055" s="2">
        <f>ROUND(H1055-G1055, 2)</f>
        <v>0</v>
      </c>
      <c r="J1055">
        <f>IF(ABS(I1055)&gt;0.01, "Priority 3", "None")</f>
        <v>0</v>
      </c>
    </row>
    <row r="1056" spans="1:10">
      <c r="A1056" t="s">
        <v>2129</v>
      </c>
      <c r="B1056" t="s">
        <v>1971</v>
      </c>
      <c r="C1056">
        <v>24</v>
      </c>
      <c r="D1056">
        <v>21.9</v>
      </c>
      <c r="E1056">
        <f>MAX(ROUNDUP(D1056, 0), C1056)</f>
        <v>0</v>
      </c>
      <c r="F1056" s="2">
        <v>7.55</v>
      </c>
      <c r="G1056" s="2">
        <f>E1056*F1056</f>
        <v>0</v>
      </c>
      <c r="H1056" s="2">
        <v>0</v>
      </c>
      <c r="I1056" s="2">
        <f>ROUND(H1056-G1056, 2)</f>
        <v>0</v>
      </c>
      <c r="J1056">
        <f>IF(ABS(I1056)&gt;0.01, "Priority 3", "None")</f>
        <v>0</v>
      </c>
    </row>
    <row r="1057" spans="1:10">
      <c r="A1057" t="s">
        <v>2130</v>
      </c>
      <c r="B1057" t="s">
        <v>1971</v>
      </c>
      <c r="C1057">
        <v>28</v>
      </c>
      <c r="D1057">
        <v>61.1</v>
      </c>
      <c r="E1057">
        <f>MAX(ROUNDUP(D1057, 0), C1057)</f>
        <v>0</v>
      </c>
      <c r="F1057" s="2">
        <v>7.55</v>
      </c>
      <c r="G1057" s="2">
        <f>E1057*F1057</f>
        <v>0</v>
      </c>
      <c r="H1057" s="2">
        <v>0</v>
      </c>
      <c r="I1057" s="2">
        <f>ROUND(H1057-G1057, 2)</f>
        <v>0</v>
      </c>
      <c r="J1057">
        <f>IF(ABS(I1057)&gt;0.01, "Priority 3", "None")</f>
        <v>0</v>
      </c>
    </row>
    <row r="1058" spans="1:10">
      <c r="A1058" t="s">
        <v>2131</v>
      </c>
      <c r="B1058" t="s">
        <v>1971</v>
      </c>
      <c r="C1058">
        <v>28</v>
      </c>
      <c r="D1058">
        <v>22.2</v>
      </c>
      <c r="E1058">
        <f>MAX(ROUNDUP(D1058, 0), C1058)</f>
        <v>0</v>
      </c>
      <c r="F1058" s="2">
        <v>7.55</v>
      </c>
      <c r="G1058" s="2">
        <f>E1058*F1058</f>
        <v>0</v>
      </c>
      <c r="H1058" s="2">
        <v>0</v>
      </c>
      <c r="I1058" s="2">
        <f>ROUND(H1058-G1058, 2)</f>
        <v>0</v>
      </c>
      <c r="J1058">
        <f>IF(ABS(I1058)&gt;0.01, "Priority 3", "None")</f>
        <v>0</v>
      </c>
    </row>
    <row r="1059" spans="1:10">
      <c r="A1059" t="s">
        <v>2132</v>
      </c>
      <c r="B1059" t="s">
        <v>1971</v>
      </c>
      <c r="C1059">
        <v>45</v>
      </c>
      <c r="D1059">
        <v>21.2</v>
      </c>
      <c r="E1059">
        <f>MAX(ROUNDUP(D1059, 0), C1059)</f>
        <v>0</v>
      </c>
      <c r="F1059" s="2">
        <v>7.55</v>
      </c>
      <c r="G1059" s="2">
        <f>E1059*F1059</f>
        <v>0</v>
      </c>
      <c r="H1059" s="2">
        <v>0</v>
      </c>
      <c r="I1059" s="2">
        <f>ROUND(H1059-G1059, 2)</f>
        <v>0</v>
      </c>
      <c r="J1059">
        <f>IF(ABS(I1059)&gt;0.01, "Priority 3", "None")</f>
        <v>0</v>
      </c>
    </row>
    <row r="1060" spans="1:10">
      <c r="A1060" t="s">
        <v>2133</v>
      </c>
      <c r="B1060" t="s">
        <v>1971</v>
      </c>
      <c r="C1060">
        <v>40</v>
      </c>
      <c r="D1060">
        <v>34.1</v>
      </c>
      <c r="E1060">
        <f>MAX(ROUNDUP(D1060, 0), C1060)</f>
        <v>0</v>
      </c>
      <c r="F1060" s="2">
        <v>7.55</v>
      </c>
      <c r="G1060" s="2">
        <f>E1060*F1060</f>
        <v>0</v>
      </c>
      <c r="H1060" s="2">
        <v>0</v>
      </c>
      <c r="I1060" s="2">
        <f>ROUND(H1060-G1060, 2)</f>
        <v>0</v>
      </c>
      <c r="J1060">
        <f>IF(ABS(I1060)&gt;0.01, "Priority 3", "None")</f>
        <v>0</v>
      </c>
    </row>
    <row r="1061" spans="1:10">
      <c r="A1061" t="s">
        <v>2134</v>
      </c>
      <c r="B1061" t="s">
        <v>1971</v>
      </c>
      <c r="C1061">
        <v>32</v>
      </c>
      <c r="D1061">
        <v>22.1</v>
      </c>
      <c r="E1061">
        <f>MAX(ROUNDUP(D1061, 0), C1061)</f>
        <v>0</v>
      </c>
      <c r="F1061" s="2">
        <v>7.55</v>
      </c>
      <c r="G1061" s="2">
        <f>E1061*F1061</f>
        <v>0</v>
      </c>
      <c r="H1061" s="2">
        <v>0</v>
      </c>
      <c r="I1061" s="2">
        <f>ROUND(H1061-G1061, 2)</f>
        <v>0</v>
      </c>
      <c r="J1061">
        <f>IF(ABS(I1061)&gt;0.01, "Priority 3", "None")</f>
        <v>0</v>
      </c>
    </row>
    <row r="1062" spans="1:10">
      <c r="A1062" t="s">
        <v>2135</v>
      </c>
      <c r="B1062" t="s">
        <v>1971</v>
      </c>
      <c r="C1062">
        <v>24</v>
      </c>
      <c r="D1062">
        <v>24.6</v>
      </c>
      <c r="E1062">
        <f>MAX(ROUNDUP(D1062, 0), C1062)</f>
        <v>0</v>
      </c>
      <c r="F1062" s="2">
        <v>7.55</v>
      </c>
      <c r="G1062" s="2">
        <f>E1062*F1062</f>
        <v>0</v>
      </c>
      <c r="H1062" s="2">
        <v>0</v>
      </c>
      <c r="I1062" s="2">
        <f>ROUND(H1062-G1062, 2)</f>
        <v>0</v>
      </c>
      <c r="J1062">
        <f>IF(ABS(I1062)&gt;0.01, "Priority 3", "None")</f>
        <v>0</v>
      </c>
    </row>
    <row r="1063" spans="1:10">
      <c r="A1063" t="s">
        <v>2136</v>
      </c>
      <c r="B1063" t="s">
        <v>1971</v>
      </c>
      <c r="C1063">
        <v>28</v>
      </c>
      <c r="D1063">
        <v>52.3</v>
      </c>
      <c r="E1063">
        <f>MAX(ROUNDUP(D1063, 0), C1063)</f>
        <v>0</v>
      </c>
      <c r="F1063" s="2">
        <v>7.55</v>
      </c>
      <c r="G1063" s="2">
        <f>E1063*F1063</f>
        <v>0</v>
      </c>
      <c r="H1063" s="2">
        <v>0</v>
      </c>
      <c r="I1063" s="2">
        <f>ROUND(H1063-G1063, 2)</f>
        <v>0</v>
      </c>
      <c r="J1063">
        <f>IF(ABS(I1063)&gt;0.01, "Priority 3", "None")</f>
        <v>0</v>
      </c>
    </row>
    <row r="1064" spans="1:10">
      <c r="A1064" t="s">
        <v>2137</v>
      </c>
      <c r="B1064" t="s">
        <v>1971</v>
      </c>
      <c r="C1064">
        <v>70</v>
      </c>
      <c r="D1064">
        <v>25.9</v>
      </c>
      <c r="E1064">
        <f>MAX(ROUNDUP(D1064, 0), C1064)</f>
        <v>0</v>
      </c>
      <c r="F1064" s="2">
        <v>7.55</v>
      </c>
      <c r="G1064" s="2">
        <f>E1064*F1064</f>
        <v>0</v>
      </c>
      <c r="H1064" s="2">
        <v>0</v>
      </c>
      <c r="I1064" s="2">
        <f>ROUND(H1064-G1064, 2)</f>
        <v>0</v>
      </c>
      <c r="J1064">
        <f>IF(ABS(I1064)&gt;0.01, "Priority 3", "None")</f>
        <v>0</v>
      </c>
    </row>
    <row r="1065" spans="1:10">
      <c r="A1065" t="s">
        <v>2138</v>
      </c>
      <c r="B1065" t="s">
        <v>1971</v>
      </c>
      <c r="C1065">
        <v>28</v>
      </c>
      <c r="D1065">
        <v>46.5</v>
      </c>
      <c r="E1065">
        <f>MAX(ROUNDUP(D1065, 0), C1065)</f>
        <v>0</v>
      </c>
      <c r="F1065" s="2">
        <v>7.55</v>
      </c>
      <c r="G1065" s="2">
        <f>E1065*F1065</f>
        <v>0</v>
      </c>
      <c r="H1065" s="2">
        <v>0</v>
      </c>
      <c r="I1065" s="2">
        <f>ROUND(H1065-G1065, 2)</f>
        <v>0</v>
      </c>
      <c r="J1065">
        <f>IF(ABS(I1065)&gt;0.01, "Priority 3", "None")</f>
        <v>0</v>
      </c>
    </row>
    <row r="1066" spans="1:10">
      <c r="A1066" t="s">
        <v>2139</v>
      </c>
      <c r="B1066" t="s">
        <v>1971</v>
      </c>
      <c r="C1066">
        <v>70</v>
      </c>
      <c r="D1066">
        <v>28</v>
      </c>
      <c r="E1066">
        <f>MAX(ROUNDUP(D1066, 0), C1066)</f>
        <v>0</v>
      </c>
      <c r="F1066" s="2">
        <v>7.55</v>
      </c>
      <c r="G1066" s="2">
        <f>E1066*F1066</f>
        <v>0</v>
      </c>
      <c r="H1066" s="2">
        <v>0</v>
      </c>
      <c r="I1066" s="2">
        <f>ROUND(H1066-G1066, 2)</f>
        <v>0</v>
      </c>
      <c r="J1066">
        <f>IF(ABS(I1066)&gt;0.01, "Priority 3", "None")</f>
        <v>0</v>
      </c>
    </row>
    <row r="1067" spans="1:10">
      <c r="A1067" t="s">
        <v>2140</v>
      </c>
      <c r="B1067" t="s">
        <v>1971</v>
      </c>
      <c r="C1067">
        <v>24</v>
      </c>
      <c r="D1067">
        <v>25.9</v>
      </c>
      <c r="E1067">
        <f>MAX(ROUNDUP(D1067, 0), C1067)</f>
        <v>0</v>
      </c>
      <c r="F1067" s="2">
        <v>7.55</v>
      </c>
      <c r="G1067" s="2">
        <f>E1067*F1067</f>
        <v>0</v>
      </c>
      <c r="H1067" s="2">
        <v>0</v>
      </c>
      <c r="I1067" s="2">
        <f>ROUND(H1067-G1067, 2)</f>
        <v>0</v>
      </c>
      <c r="J1067">
        <f>IF(ABS(I1067)&gt;0.01, "Priority 3", "None")</f>
        <v>0</v>
      </c>
    </row>
    <row r="1068" spans="1:10">
      <c r="A1068" t="s">
        <v>2141</v>
      </c>
      <c r="B1068" t="s">
        <v>1971</v>
      </c>
      <c r="C1068">
        <v>40</v>
      </c>
      <c r="D1068">
        <v>47.3</v>
      </c>
      <c r="E1068">
        <f>MAX(ROUNDUP(D1068, 0), C1068)</f>
        <v>0</v>
      </c>
      <c r="F1068" s="2">
        <v>7.55</v>
      </c>
      <c r="G1068" s="2">
        <f>E1068*F1068</f>
        <v>0</v>
      </c>
      <c r="H1068" s="2">
        <v>0</v>
      </c>
      <c r="I1068" s="2">
        <f>ROUND(H1068-G1068, 2)</f>
        <v>0</v>
      </c>
      <c r="J1068">
        <f>IF(ABS(I1068)&gt;0.01, "Priority 3", "None")</f>
        <v>0</v>
      </c>
    </row>
    <row r="1069" spans="1:10">
      <c r="A1069" t="s">
        <v>2142</v>
      </c>
      <c r="B1069" t="s">
        <v>1971</v>
      </c>
      <c r="C1069">
        <v>36</v>
      </c>
      <c r="D1069">
        <v>26.8</v>
      </c>
      <c r="E1069">
        <f>MAX(ROUNDUP(D1069, 0), C1069)</f>
        <v>0</v>
      </c>
      <c r="F1069" s="2">
        <v>7.55</v>
      </c>
      <c r="G1069" s="2">
        <f>E1069*F1069</f>
        <v>0</v>
      </c>
      <c r="H1069" s="2">
        <v>0</v>
      </c>
      <c r="I1069" s="2">
        <f>ROUND(H1069-G1069, 2)</f>
        <v>0</v>
      </c>
      <c r="J1069">
        <f>IF(ABS(I1069)&gt;0.01, "Priority 3", "None")</f>
        <v>0</v>
      </c>
    </row>
    <row r="1070" spans="1:10">
      <c r="A1070" t="s">
        <v>2143</v>
      </c>
      <c r="B1070" t="s">
        <v>1971</v>
      </c>
      <c r="C1070">
        <v>32</v>
      </c>
      <c r="D1070">
        <v>34.6</v>
      </c>
      <c r="E1070">
        <f>MAX(ROUNDUP(D1070, 0), C1070)</f>
        <v>0</v>
      </c>
      <c r="F1070" s="2">
        <v>7.55</v>
      </c>
      <c r="G1070" s="2">
        <f>E1070*F1070</f>
        <v>0</v>
      </c>
      <c r="H1070" s="2">
        <v>0</v>
      </c>
      <c r="I1070" s="2">
        <f>ROUND(H1070-G1070, 2)</f>
        <v>0</v>
      </c>
      <c r="J1070">
        <f>IF(ABS(I1070)&gt;0.01, "Priority 3", "None")</f>
        <v>0</v>
      </c>
    </row>
    <row r="1071" spans="1:10">
      <c r="A1071" t="s">
        <v>2144</v>
      </c>
      <c r="B1071" t="s">
        <v>1971</v>
      </c>
      <c r="C1071">
        <v>24</v>
      </c>
      <c r="D1071">
        <v>43.8</v>
      </c>
      <c r="E1071">
        <f>MAX(ROUNDUP(D1071, 0), C1071)</f>
        <v>0</v>
      </c>
      <c r="F1071" s="2">
        <v>7.55</v>
      </c>
      <c r="G1071" s="2">
        <f>E1071*F1071</f>
        <v>0</v>
      </c>
      <c r="H1071" s="2">
        <v>0</v>
      </c>
      <c r="I1071" s="2">
        <f>ROUND(H1071-G1071, 2)</f>
        <v>0</v>
      </c>
      <c r="J1071">
        <f>IF(ABS(I1071)&gt;0.01, "Priority 3", "None")</f>
        <v>0</v>
      </c>
    </row>
    <row r="1072" spans="1:10">
      <c r="A1072" t="s">
        <v>2145</v>
      </c>
      <c r="B1072" t="s">
        <v>1971</v>
      </c>
      <c r="C1072">
        <v>45</v>
      </c>
      <c r="D1072">
        <v>44.7</v>
      </c>
      <c r="E1072">
        <f>MAX(ROUNDUP(D1072, 0), C1072)</f>
        <v>0</v>
      </c>
      <c r="F1072" s="2">
        <v>7.55</v>
      </c>
      <c r="G1072" s="2">
        <f>E1072*F1072</f>
        <v>0</v>
      </c>
      <c r="H1072" s="2">
        <v>0</v>
      </c>
      <c r="I1072" s="2">
        <f>ROUND(H1072-G1072, 2)</f>
        <v>0</v>
      </c>
      <c r="J1072">
        <f>IF(ABS(I1072)&gt;0.01, "Priority 3", "None")</f>
        <v>0</v>
      </c>
    </row>
    <row r="1073" spans="1:10">
      <c r="A1073" t="s">
        <v>2146</v>
      </c>
      <c r="B1073" t="s">
        <v>1971</v>
      </c>
      <c r="C1073">
        <v>80</v>
      </c>
      <c r="D1073">
        <v>31.9</v>
      </c>
      <c r="E1073">
        <f>MAX(ROUNDUP(D1073, 0), C1073)</f>
        <v>0</v>
      </c>
      <c r="F1073" s="2">
        <v>7.55</v>
      </c>
      <c r="G1073" s="2">
        <f>E1073*F1073</f>
        <v>0</v>
      </c>
      <c r="H1073" s="2">
        <v>0</v>
      </c>
      <c r="I1073" s="2">
        <f>ROUND(H1073-G1073, 2)</f>
        <v>0</v>
      </c>
      <c r="J1073">
        <f>IF(ABS(I1073)&gt;0.01, "Priority 3", "None")</f>
        <v>0</v>
      </c>
    </row>
    <row r="1074" spans="1:10">
      <c r="A1074" t="s">
        <v>2147</v>
      </c>
      <c r="B1074" t="s">
        <v>1971</v>
      </c>
      <c r="C1074">
        <v>80</v>
      </c>
      <c r="D1074">
        <v>59.4</v>
      </c>
      <c r="E1074">
        <f>MAX(ROUNDUP(D1074, 0), C1074)</f>
        <v>0</v>
      </c>
      <c r="F1074" s="2">
        <v>7.55</v>
      </c>
      <c r="G1074" s="2">
        <f>E1074*F1074</f>
        <v>0</v>
      </c>
      <c r="H1074" s="2">
        <v>0</v>
      </c>
      <c r="I1074" s="2">
        <f>ROUND(H1074-G1074, 2)</f>
        <v>0</v>
      </c>
      <c r="J1074">
        <f>IF(ABS(I1074)&gt;0.01, "Priority 3", "None")</f>
        <v>0</v>
      </c>
    </row>
    <row r="1075" spans="1:10">
      <c r="A1075" t="s">
        <v>2148</v>
      </c>
      <c r="B1075" t="s">
        <v>1971</v>
      </c>
      <c r="C1075">
        <v>32</v>
      </c>
      <c r="D1075">
        <v>42.9</v>
      </c>
      <c r="E1075">
        <f>MAX(ROUNDUP(D1075, 0), C1075)</f>
        <v>0</v>
      </c>
      <c r="F1075" s="2">
        <v>7.55</v>
      </c>
      <c r="G1075" s="2">
        <f>E1075*F1075</f>
        <v>0</v>
      </c>
      <c r="H1075" s="2">
        <v>0</v>
      </c>
      <c r="I1075" s="2">
        <f>ROUND(H1075-G1075, 2)</f>
        <v>0</v>
      </c>
      <c r="J1075">
        <f>IF(ABS(I1075)&gt;0.01, "Priority 3", "None")</f>
        <v>0</v>
      </c>
    </row>
    <row r="1076" spans="1:10">
      <c r="A1076" t="s">
        <v>2149</v>
      </c>
      <c r="B1076" t="s">
        <v>1971</v>
      </c>
      <c r="C1076">
        <v>36</v>
      </c>
      <c r="D1076">
        <v>44</v>
      </c>
      <c r="E1076">
        <f>MAX(ROUNDUP(D1076, 0), C1076)</f>
        <v>0</v>
      </c>
      <c r="F1076" s="2">
        <v>7.55</v>
      </c>
      <c r="G1076" s="2">
        <f>E1076*F1076</f>
        <v>0</v>
      </c>
      <c r="H1076" s="2">
        <v>0</v>
      </c>
      <c r="I1076" s="2">
        <f>ROUND(H1076-G1076, 2)</f>
        <v>0</v>
      </c>
      <c r="J1076">
        <f>IF(ABS(I1076)&gt;0.01, "Priority 3", "None")</f>
        <v>0</v>
      </c>
    </row>
    <row r="1077" spans="1:10">
      <c r="A1077" t="s">
        <v>2150</v>
      </c>
      <c r="B1077" t="s">
        <v>1971</v>
      </c>
      <c r="C1077">
        <v>36</v>
      </c>
      <c r="D1077">
        <v>53.6</v>
      </c>
      <c r="E1077">
        <f>MAX(ROUNDUP(D1077, 0), C1077)</f>
        <v>0</v>
      </c>
      <c r="F1077" s="2">
        <v>7.55</v>
      </c>
      <c r="G1077" s="2">
        <f>E1077*F1077</f>
        <v>0</v>
      </c>
      <c r="H1077" s="2">
        <v>0</v>
      </c>
      <c r="I1077" s="2">
        <f>ROUND(H1077-G1077, 2)</f>
        <v>0</v>
      </c>
      <c r="J1077">
        <f>IF(ABS(I1077)&gt;0.01, "Priority 3", "None")</f>
        <v>0</v>
      </c>
    </row>
    <row r="1078" spans="1:10">
      <c r="A1078" t="s">
        <v>2151</v>
      </c>
      <c r="B1078" t="s">
        <v>1971</v>
      </c>
      <c r="C1078">
        <v>24</v>
      </c>
      <c r="D1078">
        <v>52.9</v>
      </c>
      <c r="E1078">
        <f>MAX(ROUNDUP(D1078, 0), C1078)</f>
        <v>0</v>
      </c>
      <c r="F1078" s="2">
        <v>7.55</v>
      </c>
      <c r="G1078" s="2">
        <f>E1078*F1078</f>
        <v>0</v>
      </c>
      <c r="H1078" s="2">
        <v>0</v>
      </c>
      <c r="I1078" s="2">
        <f>ROUND(H1078-G1078, 2)</f>
        <v>0</v>
      </c>
      <c r="J1078">
        <f>IF(ABS(I1078)&gt;0.01, "Priority 3", "None")</f>
        <v>0</v>
      </c>
    </row>
    <row r="1079" spans="1:10">
      <c r="A1079" t="s">
        <v>2152</v>
      </c>
      <c r="B1079" t="s">
        <v>1971</v>
      </c>
      <c r="C1079">
        <v>28</v>
      </c>
      <c r="D1079">
        <v>61.1</v>
      </c>
      <c r="E1079">
        <f>MAX(ROUNDUP(D1079, 0), C1079)</f>
        <v>0</v>
      </c>
      <c r="F1079" s="2">
        <v>7.55</v>
      </c>
      <c r="G1079" s="2">
        <f>E1079*F1079</f>
        <v>0</v>
      </c>
      <c r="H1079" s="2">
        <v>0</v>
      </c>
      <c r="I1079" s="2">
        <f>ROUND(H1079-G1079, 2)</f>
        <v>0</v>
      </c>
      <c r="J1079">
        <f>IF(ABS(I1079)&gt;0.01, "Priority 3", "None")</f>
        <v>0</v>
      </c>
    </row>
    <row r="1080" spans="1:10">
      <c r="A1080" t="s">
        <v>2153</v>
      </c>
      <c r="B1080" t="s">
        <v>1971</v>
      </c>
      <c r="C1080">
        <v>28</v>
      </c>
      <c r="D1080">
        <v>52.6</v>
      </c>
      <c r="E1080">
        <f>MAX(ROUNDUP(D1080, 0), C1080)</f>
        <v>0</v>
      </c>
      <c r="F1080" s="2">
        <v>7.55</v>
      </c>
      <c r="G1080" s="2">
        <f>E1080*F1080</f>
        <v>0</v>
      </c>
      <c r="H1080" s="2">
        <v>0</v>
      </c>
      <c r="I1080" s="2">
        <f>ROUND(H1080-G1080, 2)</f>
        <v>0</v>
      </c>
      <c r="J1080">
        <f>IF(ABS(I1080)&gt;0.01, "Priority 3", "None")</f>
        <v>0</v>
      </c>
    </row>
    <row r="1081" spans="1:10">
      <c r="A1081" t="s">
        <v>2154</v>
      </c>
      <c r="B1081" t="s">
        <v>1971</v>
      </c>
      <c r="C1081">
        <v>32</v>
      </c>
      <c r="D1081">
        <v>58.2</v>
      </c>
      <c r="E1081">
        <f>MAX(ROUNDUP(D1081, 0), C1081)</f>
        <v>0</v>
      </c>
      <c r="F1081" s="2">
        <v>7.55</v>
      </c>
      <c r="G1081" s="2">
        <f>E1081*F1081</f>
        <v>0</v>
      </c>
      <c r="H1081" s="2">
        <v>0</v>
      </c>
      <c r="I1081" s="2">
        <f>ROUND(H1081-G1081, 2)</f>
        <v>0</v>
      </c>
      <c r="J1081">
        <f>IF(ABS(I1081)&gt;0.01, "Priority 3", "None")</f>
        <v>0</v>
      </c>
    </row>
    <row r="1082" spans="1:10">
      <c r="A1082" t="s">
        <v>2155</v>
      </c>
      <c r="B1082" t="s">
        <v>1971</v>
      </c>
      <c r="C1082">
        <v>28</v>
      </c>
      <c r="D1082">
        <v>57.3</v>
      </c>
      <c r="E1082">
        <f>MAX(ROUNDUP(D1082, 0), C1082)</f>
        <v>0</v>
      </c>
      <c r="F1082" s="2">
        <v>7.55</v>
      </c>
      <c r="G1082" s="2">
        <f>E1082*F1082</f>
        <v>0</v>
      </c>
      <c r="H1082" s="2">
        <v>0</v>
      </c>
      <c r="I1082" s="2">
        <f>ROUND(H1082-G1082, 2)</f>
        <v>0</v>
      </c>
      <c r="J1082">
        <f>IF(ABS(I1082)&gt;0.01, "Priority 3", "None")</f>
        <v>0</v>
      </c>
    </row>
    <row r="1083" spans="1:10">
      <c r="A1083" t="s">
        <v>2156</v>
      </c>
      <c r="B1083" t="s">
        <v>1971</v>
      </c>
      <c r="C1083">
        <v>50</v>
      </c>
      <c r="D1083">
        <v>27.7</v>
      </c>
      <c r="E1083">
        <f>MAX(ROUNDUP(D1083, 0), C1083)</f>
        <v>0</v>
      </c>
      <c r="F1083" s="2">
        <v>7.55</v>
      </c>
      <c r="G1083" s="2">
        <f>E1083*F1083</f>
        <v>0</v>
      </c>
      <c r="H1083" s="2">
        <v>0</v>
      </c>
      <c r="I1083" s="2">
        <f>ROUND(H1083-G1083, 2)</f>
        <v>0</v>
      </c>
      <c r="J1083">
        <f>IF(ABS(I1083)&gt;0.01, "Priority 3", "None")</f>
        <v>0</v>
      </c>
    </row>
    <row r="1084" spans="1:10">
      <c r="A1084" t="s">
        <v>2157</v>
      </c>
      <c r="B1084" t="s">
        <v>1971</v>
      </c>
      <c r="C1084">
        <v>32</v>
      </c>
      <c r="D1084">
        <v>58.9</v>
      </c>
      <c r="E1084">
        <f>MAX(ROUNDUP(D1084, 0), C1084)</f>
        <v>0</v>
      </c>
      <c r="F1084" s="2">
        <v>7.55</v>
      </c>
      <c r="G1084" s="2">
        <f>E1084*F1084</f>
        <v>0</v>
      </c>
      <c r="H1084" s="2">
        <v>0</v>
      </c>
      <c r="I1084" s="2">
        <f>ROUND(H1084-G1084, 2)</f>
        <v>0</v>
      </c>
      <c r="J1084">
        <f>IF(ABS(I1084)&gt;0.01, "Priority 3", "None")</f>
        <v>0</v>
      </c>
    </row>
    <row r="1085" spans="1:10">
      <c r="A1085" t="s">
        <v>2158</v>
      </c>
      <c r="B1085" t="s">
        <v>1971</v>
      </c>
      <c r="C1085">
        <v>60</v>
      </c>
      <c r="D1085">
        <v>43.1</v>
      </c>
      <c r="E1085">
        <f>MAX(ROUNDUP(D1085, 0), C1085)</f>
        <v>0</v>
      </c>
      <c r="F1085" s="2">
        <v>7.55</v>
      </c>
      <c r="G1085" s="2">
        <f>E1085*F1085</f>
        <v>0</v>
      </c>
      <c r="H1085" s="2">
        <v>0</v>
      </c>
      <c r="I1085" s="2">
        <f>ROUND(H1085-G1085, 2)</f>
        <v>0</v>
      </c>
      <c r="J1085">
        <f>IF(ABS(I1085)&gt;0.01, "Priority 3", "None")</f>
        <v>0</v>
      </c>
    </row>
    <row r="1086" spans="1:10">
      <c r="A1086" t="s">
        <v>2159</v>
      </c>
      <c r="B1086" t="s">
        <v>1971</v>
      </c>
      <c r="C1086">
        <v>45</v>
      </c>
      <c r="D1086">
        <v>48.2</v>
      </c>
      <c r="E1086">
        <f>MAX(ROUNDUP(D1086, 0), C1086)</f>
        <v>0</v>
      </c>
      <c r="F1086" s="2">
        <v>7.55</v>
      </c>
      <c r="G1086" s="2">
        <f>E1086*F1086</f>
        <v>0</v>
      </c>
      <c r="H1086" s="2">
        <v>0</v>
      </c>
      <c r="I1086" s="2">
        <f>ROUND(H1086-G1086, 2)</f>
        <v>0</v>
      </c>
      <c r="J1086">
        <f>IF(ABS(I1086)&gt;0.01, "Priority 3", "None")</f>
        <v>0</v>
      </c>
    </row>
    <row r="1087" spans="1:10">
      <c r="A1087" t="s">
        <v>2160</v>
      </c>
      <c r="B1087" t="s">
        <v>1971</v>
      </c>
      <c r="C1087">
        <v>80</v>
      </c>
      <c r="D1087">
        <v>56.6</v>
      </c>
      <c r="E1087">
        <f>MAX(ROUNDUP(D1087, 0), C1087)</f>
        <v>0</v>
      </c>
      <c r="F1087" s="2">
        <v>7.55</v>
      </c>
      <c r="G1087" s="2">
        <f>E1087*F1087</f>
        <v>0</v>
      </c>
      <c r="H1087" s="2">
        <v>0</v>
      </c>
      <c r="I1087" s="2">
        <f>ROUND(H1087-G1087, 2)</f>
        <v>0</v>
      </c>
      <c r="J1087">
        <f>IF(ABS(I1087)&gt;0.01, "Priority 3", "None")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6" width="20.7109375" customWidth="1"/>
  </cols>
  <sheetData>
    <row r="1" spans="1:6">
      <c r="A1" s="1" t="s">
        <v>2161</v>
      </c>
      <c r="B1" s="1" t="s">
        <v>1061</v>
      </c>
      <c r="C1" s="1" t="s">
        <v>2162</v>
      </c>
      <c r="D1" s="1" t="s">
        <v>2163</v>
      </c>
      <c r="E1" s="1" t="s">
        <v>2164</v>
      </c>
      <c r="F1" s="1" t="s">
        <v>2165</v>
      </c>
    </row>
    <row r="2" spans="1:6">
      <c r="A2" t="s">
        <v>2166</v>
      </c>
      <c r="B2" t="s">
        <v>1091</v>
      </c>
      <c r="C2" t="s">
        <v>2167</v>
      </c>
      <c r="D2" s="2">
        <v>509.6</v>
      </c>
      <c r="E2" s="2">
        <v>0</v>
      </c>
      <c r="F2" s="2">
        <f>D2+E2</f>
        <v>0</v>
      </c>
    </row>
    <row r="3" spans="1:6">
      <c r="A3" t="s">
        <v>2168</v>
      </c>
      <c r="B3" t="s">
        <v>1136</v>
      </c>
      <c r="C3" t="s">
        <v>2169</v>
      </c>
      <c r="D3" s="2">
        <v>384.8</v>
      </c>
      <c r="E3" s="2">
        <v>0</v>
      </c>
      <c r="F3" s="2">
        <f>D3+E3</f>
        <v>0</v>
      </c>
    </row>
    <row r="4" spans="1:6">
      <c r="A4" t="s">
        <v>2170</v>
      </c>
      <c r="B4" t="s">
        <v>1181</v>
      </c>
      <c r="C4" t="s">
        <v>2171</v>
      </c>
      <c r="D4" s="2">
        <v>603.2</v>
      </c>
      <c r="E4" s="2">
        <v>603.2</v>
      </c>
      <c r="F4" s="2">
        <f>D4+E4</f>
        <v>0</v>
      </c>
    </row>
    <row r="5" spans="1:6">
      <c r="A5" t="s">
        <v>2172</v>
      </c>
      <c r="B5" t="s">
        <v>1184</v>
      </c>
      <c r="C5" t="s">
        <v>2173</v>
      </c>
      <c r="D5" s="2">
        <v>530.4</v>
      </c>
      <c r="E5" s="2">
        <v>0</v>
      </c>
      <c r="F5" s="2">
        <f>D5+E5</f>
        <v>0</v>
      </c>
    </row>
    <row r="6" spans="1:6">
      <c r="A6" t="s">
        <v>2174</v>
      </c>
      <c r="B6" t="s">
        <v>1215</v>
      </c>
      <c r="C6" t="s">
        <v>2175</v>
      </c>
      <c r="D6" s="2">
        <v>416</v>
      </c>
      <c r="E6" s="2">
        <v>832</v>
      </c>
      <c r="F6" s="2">
        <f>D6+E6</f>
        <v>0</v>
      </c>
    </row>
    <row r="7" spans="1:6">
      <c r="A7" t="s">
        <v>2176</v>
      </c>
      <c r="B7" t="s">
        <v>1226</v>
      </c>
      <c r="C7" t="s">
        <v>2177</v>
      </c>
      <c r="D7" s="2">
        <v>488.8</v>
      </c>
      <c r="E7" s="2">
        <v>0</v>
      </c>
      <c r="F7" s="2">
        <f>D7+E7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40.7109375" customWidth="1"/>
  </cols>
  <sheetData>
    <row r="1" spans="1:2">
      <c r="A1" s="3" t="s">
        <v>2178</v>
      </c>
    </row>
    <row r="3" spans="1:2">
      <c r="A3" t="s">
        <v>2179</v>
      </c>
      <c r="B3">
        <f>COUNTIF(Skips!E:E, "Priority 1") + COUNTIF(Amendments!E:E, "Priority 1")</f>
        <v>0</v>
      </c>
    </row>
    <row r="4" spans="1:2">
      <c r="A4" t="s">
        <v>2180</v>
      </c>
      <c r="B4">
        <f>COUNTIF(Skips!E:E, "Priority 2") + COUNTIF(Amendments!E:E, "Priority 2")</f>
        <v>0</v>
      </c>
    </row>
    <row r="5" spans="1:2">
      <c r="A5" t="s">
        <v>2181</v>
      </c>
      <c r="B5">
        <f>COUNTIF('Billing Reconciliation'!J:J, "Priority 3")</f>
        <v>0</v>
      </c>
    </row>
    <row r="7" spans="1:2">
      <c r="A7" t="s">
        <v>2182</v>
      </c>
      <c r="B7" s="2">
        <f>SUM(Delinquencies!F:F)</f>
        <v>0</v>
      </c>
    </row>
    <row r="8" spans="1:2">
      <c r="A8" t="s">
        <v>2183</v>
      </c>
      <c r="B8" s="2">
        <f>SUM('Billing Reconciliation'!I:I)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Skips</vt:lpstr>
      <vt:lpstr>Amendments</vt:lpstr>
      <vt:lpstr>Billing Reconciliation</vt:lpstr>
      <vt:lpstr>Delinquencies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2026-09-14T13:00:04Z</dcterms:created>
  <dcterms:modified xsi:type="dcterms:W3CDTF">2026-09-14T13:00:04Z</dcterms:modified>
</cp:coreProperties>
</file>